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con Siam" sheetId="1" state="visible" r:id="rId3"/>
    <sheet name="Central World" sheetId="2" state="visible" r:id="rId4"/>
    <sheet name="Central Westgate" sheetId="3" state="hidden" r:id="rId5"/>
    <sheet name="Central park" sheetId="4" state="visible" r:id="rId6"/>
    <sheet name="Central Ladprao" sheetId="5" state="visible" r:id="rId7"/>
    <sheet name="Mega Bangna" sheetId="6" state="visible" r:id="rId8"/>
    <sheet name="Central Phuket" sheetId="7" state="visible" r:id="rId9"/>
    <sheet name="Central Pattaya" sheetId="8" state="visible" r:id="rId10"/>
    <sheet name="Terminal 21 Asoke" sheetId="9" state="visible" r:id="rId11"/>
    <sheet name="Fashion Island" sheetId="10" state="hidden" r:id="rId12"/>
    <sheet name="Sheet1" sheetId="11" state="hidden" r:id="rId13"/>
    <sheet name="Terminal 21 Pattaya" sheetId="12" state="visible" r:id="rId14"/>
  </sheets>
  <definedNames>
    <definedName function="false" hidden="false" localSheetId="4" name="_xlnm.Print_Area" vbProcedure="false">'Central Ladprao'!$A$1:$AB$39</definedName>
    <definedName function="false" hidden="false" localSheetId="7" name="_xlnm.Print_Area" vbProcedure="false">'Central Pattaya'!$A$1:$AF$39</definedName>
    <definedName function="false" hidden="false" localSheetId="6" name="_xlnm.Print_Area" vbProcedure="false">'Central Phuket'!$A$1:$AG$39</definedName>
    <definedName function="false" hidden="false" localSheetId="2" name="_xlnm.Print_Area" vbProcedure="false">'Central Westgate'!$A$1:$AB$39</definedName>
    <definedName function="false" hidden="false" localSheetId="1" name="_xlnm.Print_Area" vbProcedure="false">'Central World'!$A$1:$AB$39</definedName>
    <definedName function="false" hidden="false" localSheetId="9" name="_xlnm.Print_Area" vbProcedure="false">'Fashion Island'!$A$1:$AB$39</definedName>
    <definedName function="false" hidden="false" localSheetId="0" name="_xlnm.Print_Area" vbProcedure="false">'Icon Siam'!$A$1:$AB$40</definedName>
    <definedName function="false" hidden="false" localSheetId="5" name="_xlnm.Print_Area" vbProcedure="false">'Mega Bangna'!$A$1:$AB$39</definedName>
    <definedName function="false" hidden="false" localSheetId="8" name="_xlnm.Print_Area" vbProcedure="false">'Terminal 21 Asoke'!$A$1:$AB$39</definedName>
    <definedName function="false" hidden="false" localSheetId="11" name="_xlnm.Print_Area" vbProcedure="false">'Terminal 21 Pattaya'!$A$1:$AG$39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41" authorId="0">
      <text>
        <r>
          <rPr>
            <sz val="10"/>
            <rFont val="FreeSans"/>
            <family val="2"/>
          </rPr>
          <t xml:space="preserve">ยอดนี้จะเท่ากับยอดค้างฝากยกมาตอนต้นเดือน
</t>
        </r>
      </text>
    </comment>
    <comment ref="Y39" authorId="0">
      <text>
        <r>
          <rPr>
            <sz val="10"/>
            <rFont val="FreeSans"/>
            <family val="2"/>
          </rPr>
          <t xml:space="preserve">ยอดนี้เป็นยอดค้างฝากยกไปเดือนถัดไป 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41" authorId="0">
      <text>
        <r>
          <rPr>
            <sz val="10"/>
            <rFont val="FreeSans"/>
            <family val="2"/>
          </rPr>
          <t xml:space="preserve">ยอดนี้จะเท่ากับยอดค้างฝากยกมาตอนต้นเดือน
</t>
        </r>
      </text>
    </comment>
    <comment ref="Y39" authorId="0">
      <text>
        <r>
          <rPr>
            <sz val="10"/>
            <rFont val="FreeSans"/>
            <family val="2"/>
          </rPr>
          <t xml:space="preserve">ยอดนี้เป็นยอดค้างฝากยกไปเดือนถัดไป 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41" authorId="0">
      <text>
        <r>
          <rPr>
            <sz val="10"/>
            <rFont val="FreeSans"/>
            <family val="2"/>
          </rPr>
          <t xml:space="preserve">ยอดนี้จะเท่ากับยอดค้างฝากยกมาตอนต้นเดือน
</t>
        </r>
      </text>
    </comment>
    <comment ref="Y39" authorId="0">
      <text>
        <r>
          <rPr>
            <sz val="10"/>
            <rFont val="FreeSans"/>
            <family val="2"/>
          </rPr>
          <t xml:space="preserve">ยอดนี้เป็นยอดค้างฝากยกไปเดือนถัดไป 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41" authorId="0">
      <text>
        <r>
          <rPr>
            <sz val="10"/>
            <rFont val="FreeSans"/>
            <family val="2"/>
          </rPr>
          <t xml:space="preserve">ยอดนี้จะเท่ากับยอดค้างฝากยกมาตอนต้นเดือน
</t>
        </r>
      </text>
    </comment>
    <comment ref="Y39" authorId="0">
      <text>
        <r>
          <rPr>
            <sz val="10"/>
            <rFont val="FreeSans"/>
            <family val="2"/>
          </rPr>
          <t xml:space="preserve">ยอดนี้เป็นยอดค้างฝากยกไปเดือนถัดไป 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41" authorId="0">
      <text>
        <r>
          <rPr>
            <sz val="10"/>
            <rFont val="FreeSans"/>
            <family val="2"/>
          </rPr>
          <t xml:space="preserve">ยอดนี้จะเท่ากับยอดค้างฝากยกมาตอนต้นเดือน
</t>
        </r>
      </text>
    </comment>
    <comment ref="Y39" authorId="0">
      <text>
        <r>
          <rPr>
            <sz val="10"/>
            <rFont val="FreeSans"/>
            <family val="2"/>
          </rPr>
          <t xml:space="preserve">ยอดนี้เป็นยอดค้างฝากยกไปเดือนถัดไป 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41" authorId="0">
      <text>
        <r>
          <rPr>
            <sz val="10"/>
            <rFont val="FreeSans"/>
            <family val="2"/>
          </rPr>
          <t xml:space="preserve">ยอดนี้จะเท่ากับยอดค้างฝากยกมาตอนต้นเดือน
</t>
        </r>
      </text>
    </comment>
    <comment ref="AB39" authorId="0">
      <text>
        <r>
          <rPr>
            <sz val="10"/>
            <rFont val="FreeSans"/>
            <family val="2"/>
          </rPr>
          <t xml:space="preserve">ยอดนี้เป็นยอดค้างฝากยกไปเดือนถัดไป 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41" authorId="0">
      <text>
        <r>
          <rPr>
            <sz val="10"/>
            <rFont val="FreeSans"/>
            <family val="2"/>
          </rPr>
          <t xml:space="preserve">ยอดนี้จะเท่ากับยอดค้างฝากยกมาตอนต้นเดือน
</t>
        </r>
      </text>
    </comment>
    <comment ref="AA39" authorId="0">
      <text>
        <r>
          <rPr>
            <sz val="10"/>
            <rFont val="FreeSans"/>
            <family val="2"/>
          </rPr>
          <t xml:space="preserve">ยอดนี้เป็นยอดค้างฝากยกไปเดือนถัดไป 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40" authorId="0">
      <text>
        <r>
          <rPr>
            <sz val="10"/>
            <rFont val="FreeSans"/>
            <family val="2"/>
          </rPr>
          <t xml:space="preserve">ยอดนี้จะเท่ากับยอดค้างฝากยกมาตอนต้นเดือน
</t>
        </r>
      </text>
    </comment>
    <comment ref="Y38" authorId="0">
      <text>
        <r>
          <rPr>
            <sz val="10"/>
            <rFont val="FreeSans"/>
            <family val="2"/>
          </rPr>
          <t xml:space="preserve">ยอดนี้เป็นยอดค้างฝากยกไปเดือนถัดไป 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41" authorId="0">
      <text>
        <r>
          <rPr>
            <sz val="10"/>
            <rFont val="FreeSans"/>
            <family val="2"/>
          </rPr>
          <t xml:space="preserve">ยอดนี้จะเท่ากับยอดค้างฝากยกมาตอนต้นเดือน
</t>
        </r>
      </text>
    </comment>
    <comment ref="Y39" authorId="0">
      <text>
        <r>
          <rPr>
            <sz val="10"/>
            <rFont val="FreeSans"/>
            <family val="2"/>
          </rPr>
          <t xml:space="preserve">ยอดนี้เป็นยอดค้างฝากยกไปเดือนถัดไป 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41" authorId="0">
      <text>
        <r>
          <rPr>
            <sz val="10"/>
            <rFont val="FreeSans"/>
            <family val="2"/>
          </rPr>
          <t xml:space="preserve">ยอดนี้จะเท่ากับยอดค้างฝากยกมาตอนต้นเดือน
</t>
        </r>
      </text>
    </comment>
    <comment ref="AB39" authorId="0">
      <text>
        <r>
          <rPr>
            <sz val="10"/>
            <rFont val="FreeSans"/>
            <family val="2"/>
          </rPr>
          <t xml:space="preserve">ยอดนี้เป็นยอดค้างฝากยกไปเดือนถัดไป </t>
        </r>
      </text>
    </comment>
  </commentList>
</comments>
</file>

<file path=xl/sharedStrings.xml><?xml version="1.0" encoding="utf-8"?>
<sst xmlns="http://schemas.openxmlformats.org/spreadsheetml/2006/main" count="764" uniqueCount="122">
  <si>
    <t xml:space="preserve">Sales Report of  Onitsuka Tiger Icon Siam Branch 00008</t>
  </si>
  <si>
    <t xml:space="preserve">ยอดเงินสดนำฝาก</t>
  </si>
  <si>
    <t xml:space="preserve">Sale Date/Payment Method</t>
  </si>
  <si>
    <t xml:space="preserve">Cash</t>
  </si>
  <si>
    <t xml:space="preserve">Transfer</t>
  </si>
  <si>
    <t xml:space="preserve">Debit</t>
  </si>
  <si>
    <t xml:space="preserve">Credit</t>
  </si>
  <si>
    <t xml:space="preserve">Alipay / Wechat</t>
  </si>
  <si>
    <t xml:space="preserve">Voucher / Gift Card</t>
  </si>
  <si>
    <t xml:space="preserve">
QTY items Sold
for Inventory
(Exclude Shopping Bag)
(จำนวนชิ้น)</t>
  </si>
  <si>
    <t xml:space="preserve">cancel/ Return / Staff Uniform / Complimentary</t>
  </si>
  <si>
    <t xml:space="preserve">Sale Total (Agree to Sale Shift Report)</t>
  </si>
  <si>
    <t xml:space="preserve">Staff Name</t>
  </si>
  <si>
    <t xml:space="preserve">Bank Kbank - 9123</t>
  </si>
  <si>
    <t xml:space="preserve">Bank SCB - 2710</t>
  </si>
  <si>
    <t xml:space="preserve">ยอดเงินขาด/เงินเกิน</t>
  </si>
  <si>
    <t xml:space="preserve">Remark</t>
  </si>
  <si>
    <t xml:space="preserve">เช็ค Diff ค้างฝาก</t>
  </si>
  <si>
    <t xml:space="preserve">Qty order</t>
  </si>
  <si>
    <t xml:space="preserve">Amount</t>
  </si>
  <si>
    <t xml:space="preserve">Qty Order</t>
  </si>
  <si>
    <t xml:space="preserve">total Qty Order</t>
  </si>
  <si>
    <t xml:space="preserve">Total Amount</t>
  </si>
  <si>
    <t xml:space="preserve">ยอดเงินสดค้างฝากยกมา</t>
  </si>
  <si>
    <t xml:space="preserve">เป็นช่องที่ไม่ได้ชำระเงิน</t>
  </si>
  <si>
    <t xml:space="preserve">ยอดตัวเลขที่โชว์จะเป็นแค่ยอดเงินสดค้างฝาก และสะสมค้างฝากวันต่อวันเท่านั้น หากวันถัดไปมีการนำฝากแล้ว ยอดวันนั้นจะเป็น 0 ไล่ตามขั้นบันไดลงไปค่ะ</t>
  </si>
  <si>
    <t xml:space="preserve">NICE</t>
  </si>
  <si>
    <t xml:space="preserve">รวมยอดค้างฝาก วันที่ 28/02/2026 4950</t>
  </si>
  <si>
    <t xml:space="preserve">GOLF</t>
  </si>
  <si>
    <t xml:space="preserve">FOR PARTNER 20/171,300</t>
  </si>
  <si>
    <t xml:space="preserve">TAN</t>
  </si>
  <si>
    <t xml:space="preserve">UNIFORM STAFF KHUN.CHERLIYA 12,200 BATH</t>
  </si>
  <si>
    <t xml:space="preserve">MINT</t>
  </si>
  <si>
    <t xml:space="preserve">FERN</t>
  </si>
  <si>
    <t xml:space="preserve">UNIFORM STAFF ICON SAIM 67450 BATH</t>
  </si>
  <si>
    <t xml:space="preserve">For Partner 1=3,800</t>
  </si>
  <si>
    <t xml:space="preserve">ICE</t>
  </si>
  <si>
    <t xml:space="preserve">ค้างฝาก 50บาท</t>
  </si>
  <si>
    <t xml:space="preserve">Addition Float 6,000.-</t>
  </si>
  <si>
    <t xml:space="preserve">Diff from Cash</t>
  </si>
  <si>
    <t xml:space="preserve">Total</t>
  </si>
  <si>
    <t xml:space="preserve">***ไฮไลท์สีส้มห้ามแก้ไข</t>
  </si>
  <si>
    <t xml:space="preserve">Sales Report of  Onitsuka Tiger Central World Branch 00002</t>
  </si>
  <si>
    <t xml:space="preserve">Bank BBL - 4153</t>
  </si>
  <si>
    <t xml:space="preserve">MEE</t>
  </si>
  <si>
    <t xml:space="preserve">WAN</t>
  </si>
  <si>
    <t xml:space="preserve">VIEW</t>
  </si>
  <si>
    <t xml:space="preserve">KAI</t>
  </si>
  <si>
    <t xml:space="preserve">RUNG</t>
  </si>
  <si>
    <t xml:space="preserve">ค้างฝากถุงเท้าเดือนที่แล้ว 50 บาท เนื่องจากฝากตู้ ATM ไม่ได้</t>
  </si>
  <si>
    <t xml:space="preserve">ค้าง 50 บาท ทำการฝากเข้าบริษัทเรียบร้อย</t>
  </si>
  <si>
    <t xml:space="preserve">ค้างฝากถุงเท้าเดือนที่แล้ว 50 บาท เนื่องจากฝากตู้ ATM ไม่ได้, Return Partner 1บิล</t>
  </si>
  <si>
    <t xml:space="preserve">TIN</t>
  </si>
  <si>
    <t xml:space="preserve">ค้างฝากถุงเท้าเดือนที่แล้ว 50 บาท เนื่องจากฝากตู้ ATM ไม่ได้,CLOTHING ALLOWANCE 1บิล</t>
  </si>
  <si>
    <t xml:space="preserve">OAT</t>
  </si>
  <si>
    <t xml:space="preserve">นำฝากเรียบร้อย</t>
  </si>
  <si>
    <t xml:space="preserve">Additional Float</t>
  </si>
  <si>
    <t xml:space="preserve">Sales Report of  Onitsuka Tiger Central Westgate Branch 00008</t>
  </si>
  <si>
    <t xml:space="preserve">Sales Report of  Onitsuka Tiger Dusit Central Park 00012</t>
  </si>
  <si>
    <t xml:space="preserve">JOY</t>
  </si>
  <si>
    <t xml:space="preserve">เปิดขายวันแรก</t>
  </si>
  <si>
    <t xml:space="preserve">จ</t>
  </si>
  <si>
    <t xml:space="preserve">Sales Report of  Onitsuka Tiger Central Ladprao Branch 00005</t>
  </si>
  <si>
    <t xml:space="preserve">POND</t>
  </si>
  <si>
    <t xml:space="preserve">MOO</t>
  </si>
  <si>
    <t xml:space="preserve">*มีเบิก KOL 1 บิล 2900 บาท</t>
  </si>
  <si>
    <t xml:space="preserve">TOM</t>
  </si>
  <si>
    <t xml:space="preserve">QR สลับ เครดิต </t>
  </si>
  <si>
    <t xml:space="preserve">TUI</t>
  </si>
  <si>
    <t xml:space="preserve">เบิก Clothing Allowance 4 bill/ 29,700</t>
  </si>
  <si>
    <t xml:space="preserve">QR สลับ เครดิต 4200 บาท</t>
  </si>
  <si>
    <t xml:space="preserve">*รูดเครดิตขาด 1300 บาท</t>
  </si>
  <si>
    <t xml:space="preserve">* มีรูดcredit รวม 2 บิล ยอด 22400 </t>
  </si>
  <si>
    <t xml:space="preserve">เครดิตเกิน 1300 บาท ลูกค้ามาชำระเพิ่มบิลวันที่ 28-3-26</t>
  </si>
  <si>
    <t xml:space="preserve">Sales Report of  Onitsuka Tiger Mega Bangna Branch 00010</t>
  </si>
  <si>
    <t xml:space="preserve">NUNG</t>
  </si>
  <si>
    <t xml:space="preserve">TARN</t>
  </si>
  <si>
    <t xml:space="preserve">SUN</t>
  </si>
  <si>
    <t xml:space="preserve">PARTNER K.NING SOPIDA 24,800</t>
  </si>
  <si>
    <t xml:space="preserve">MEW</t>
  </si>
  <si>
    <t xml:space="preserve">CLOTHING ALLOWANCE AND ADD MORE MONEY 3400 THB</t>
  </si>
  <si>
    <t xml:space="preserve">Sales Report of  Onitsuka Tiger Central Phuket Branch 00004</t>
  </si>
  <si>
    <t xml:space="preserve">FEE</t>
  </si>
  <si>
    <t xml:space="preserve">PAM</t>
  </si>
  <si>
    <t xml:space="preserve">YING</t>
  </si>
  <si>
    <t xml:space="preserve">GING</t>
  </si>
  <si>
    <t xml:space="preserve">ค้างฝาก 4900</t>
  </si>
  <si>
    <t xml:space="preserve">(-4,900)</t>
  </si>
  <si>
    <t xml:space="preserve">ฝากเพิ่ม 4900</t>
  </si>
  <si>
    <t xml:space="preserve">(+ 4,900 )</t>
  </si>
  <si>
    <t xml:space="preserve">(+4,900)</t>
  </si>
  <si>
    <t xml:space="preserve">(-50)</t>
  </si>
  <si>
    <t xml:space="preserve">ค้างฝาก 50</t>
  </si>
  <si>
    <t xml:space="preserve">(+50)</t>
  </si>
  <si>
    <t xml:space="preserve">Sales Report of  Onitsuka Tiger Central Pattaya Beach Branch 00003</t>
  </si>
  <si>
    <t xml:space="preserve">SCB</t>
  </si>
  <si>
    <t xml:space="preserve">NEW</t>
  </si>
  <si>
    <t xml:space="preserve">ค้างฝาก 4,900 บาท</t>
  </si>
  <si>
    <t xml:space="preserve">FAI</t>
  </si>
  <si>
    <t xml:space="preserve">เข้าที่ค้างฝาก 4950 บาท แล้ว</t>
  </si>
  <si>
    <t xml:space="preserve">ค้างฝาก 50 บาท</t>
  </si>
  <si>
    <t xml:space="preserve">เข้าที่ค้างฝาก 50 บาท แล้ว</t>
  </si>
  <si>
    <t xml:space="preserve">Clothing Allowance 3 บิล 15 ชิ้น 22,050 บาท</t>
  </si>
  <si>
    <t xml:space="preserve">ค้างฝาก 2550 บาท</t>
  </si>
  <si>
    <t xml:space="preserve">Sales Report of  Onitsuka Tiger Terminal 21 Asok Branch 00006</t>
  </si>
  <si>
    <t xml:space="preserve">MAC</t>
  </si>
  <si>
    <t xml:space="preserve">KATE</t>
  </si>
  <si>
    <t xml:space="preserve">EARN</t>
  </si>
  <si>
    <t xml:space="preserve">PING</t>
  </si>
  <si>
    <t xml:space="preserve">OAK</t>
  </si>
  <si>
    <t xml:space="preserve">CAW 37,500</t>
  </si>
  <si>
    <t xml:space="preserve">ยอดขายเกิน  200 บาท เนื่องจากทำคืนสินค้าราคา 2,200 บาทและขายสินค้าราคา 2,000</t>
  </si>
  <si>
    <t xml:space="preserve">ADDITIONAL FLOAT 2,000 บาท</t>
  </si>
  <si>
    <t xml:space="preserve">BENZ</t>
  </si>
  <si>
    <t xml:space="preserve">Sales Report of  Onitsuka Tiger Fashion Island Branch 00001</t>
  </si>
  <si>
    <t xml:space="preserve">Sales Report of  Onitsuka Tiger Terminal 21 Pattaya Branch 00007</t>
  </si>
  <si>
    <t xml:space="preserve">DEW</t>
  </si>
  <si>
    <t xml:space="preserve">50 บาทนำฝากวันถัดไป</t>
  </si>
  <si>
    <t xml:space="preserve">50 บาท 1/3 นำฝากวันถัดไป</t>
  </si>
  <si>
    <t xml:space="preserve">PEACH</t>
  </si>
  <si>
    <t xml:space="preserve">Diff ไม่ตรงระบบ เนื่องจาก Void ผิดประเภท (Cash, Credit) ลูกค้าขอ VAT, Clothing Allowance 29950</t>
  </si>
  <si>
    <t xml:space="preserve">PUI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</si>
</sst>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-yy"/>
    <numFmt numFmtId="166" formatCode="yyyy\-mm\-dd;@"/>
    <numFmt numFmtId="167" formatCode="_(* #,##0.00_);_(* \(#,##0.00\);_(* \-??_);_(@_)"/>
    <numFmt numFmtId="168" formatCode="#,##0.00"/>
    <numFmt numFmtId="169" formatCode="_ * #,##0.00_ ;_ * \-#,##0.00_ ;_ * \-??_ ;_ @_ "/>
    <numFmt numFmtId="170" formatCode="0_);[RED]\(0\)"/>
    <numFmt numFmtId="171" formatCode="_ * #,##0_ ;_ * \-#,##0_ ;_ * \-_ ;_ @_ "/>
    <numFmt numFmtId="172" formatCode="General"/>
  </numFmts>
  <fonts count="3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2"/>
      <charset val="1"/>
    </font>
    <font>
      <sz val="20"/>
      <color theme="1"/>
      <name val="Arial"/>
      <family val="2"/>
      <charset val="1"/>
    </font>
    <font>
      <sz val="14"/>
      <color theme="1"/>
      <name val="Aptos Narrow"/>
      <family val="2"/>
      <charset val="1"/>
    </font>
    <font>
      <b val="true"/>
      <sz val="14"/>
      <color theme="1"/>
      <name val="Arial"/>
      <family val="2"/>
      <charset val="1"/>
    </font>
    <font>
      <b val="true"/>
      <u val="single"/>
      <sz val="36"/>
      <color theme="1"/>
      <name val="Arial"/>
      <family val="2"/>
      <charset val="1"/>
    </font>
    <font>
      <b val="true"/>
      <u val="single"/>
      <sz val="28"/>
      <color theme="1"/>
      <name val="Arial"/>
      <family val="2"/>
      <charset val="1"/>
    </font>
    <font>
      <b val="true"/>
      <sz val="28"/>
      <color theme="1"/>
      <name val="Arial"/>
      <family val="2"/>
      <charset val="1"/>
    </font>
    <font>
      <b val="true"/>
      <sz val="20"/>
      <color theme="1"/>
      <name val="Arial"/>
      <family val="2"/>
      <charset val="1"/>
    </font>
    <font>
      <b val="true"/>
      <sz val="14"/>
      <color theme="1"/>
      <name val="Aptos Narrow"/>
      <family val="2"/>
      <charset val="1"/>
    </font>
    <font>
      <b val="true"/>
      <sz val="24"/>
      <color theme="1"/>
      <name val="Arial"/>
      <family val="2"/>
      <charset val="1"/>
    </font>
    <font>
      <b val="true"/>
      <sz val="20"/>
      <color rgb="FFFF0000"/>
      <name val="Arial"/>
      <family val="2"/>
      <charset val="1"/>
    </font>
    <font>
      <b val="true"/>
      <sz val="24"/>
      <color theme="1"/>
      <name val="Aptos Narrow"/>
      <family val="2"/>
      <charset val="1"/>
    </font>
    <font>
      <b val="true"/>
      <sz val="16"/>
      <color rgb="FFFF0000"/>
      <name val="Arial"/>
      <family val="2"/>
      <charset val="1"/>
    </font>
    <font>
      <sz val="16"/>
      <color rgb="FFFF0000"/>
      <name val="Arial"/>
      <family val="2"/>
      <charset val="1"/>
    </font>
    <font>
      <sz val="16"/>
      <color theme="1"/>
      <name val="Arial"/>
      <family val="2"/>
      <charset val="1"/>
    </font>
    <font>
      <b val="true"/>
      <sz val="16"/>
      <color theme="1"/>
      <name val="Arial"/>
      <family val="2"/>
      <charset val="1"/>
    </font>
    <font>
      <sz val="24"/>
      <color theme="1"/>
      <name val="Arial"/>
      <family val="2"/>
      <charset val="1"/>
    </font>
    <font>
      <sz val="24"/>
      <color theme="1"/>
      <name val="Aptos Narrow"/>
      <family val="2"/>
      <charset val="1"/>
    </font>
    <font>
      <sz val="24"/>
      <color rgb="FFFF0000"/>
      <name val="Arial"/>
      <family val="2"/>
      <charset val="1"/>
    </font>
    <font>
      <sz val="20"/>
      <color rgb="FFFF0000"/>
      <name val="Arial"/>
      <family val="2"/>
      <charset val="1"/>
    </font>
    <font>
      <sz val="24"/>
      <color rgb="FFFF0000"/>
      <name val="Aptos Narrow"/>
      <family val="2"/>
      <charset val="1"/>
    </font>
    <font>
      <b val="true"/>
      <sz val="24"/>
      <color theme="1"/>
      <name val="Arial"/>
      <family val="0"/>
      <charset val="1"/>
    </font>
    <font>
      <sz val="24"/>
      <color theme="1"/>
      <name val="Arial"/>
      <family val="0"/>
      <charset val="1"/>
    </font>
    <font>
      <b val="true"/>
      <sz val="24"/>
      <color rgb="FFFF0000"/>
      <name val="Arial"/>
      <family val="2"/>
      <charset val="1"/>
    </font>
    <font>
      <b val="true"/>
      <sz val="28"/>
      <color rgb="FFFF0000"/>
      <name val="Arial"/>
      <family val="2"/>
      <charset val="1"/>
    </font>
    <font>
      <sz val="10"/>
      <name val="FreeSans"/>
      <family val="2"/>
    </font>
    <font>
      <sz val="24"/>
      <color rgb="FFFF0000"/>
      <name val="Arial"/>
      <family val="0"/>
      <charset val="1"/>
    </font>
    <font>
      <b val="true"/>
      <sz val="28"/>
      <color theme="1"/>
      <name val="Arial"/>
      <family val="0"/>
      <charset val="1"/>
    </font>
    <font>
      <sz val="20"/>
      <color rgb="FFFF000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theme="7" tint="0.3999"/>
        <bgColor rgb="FF44B3E1"/>
      </patternFill>
    </fill>
    <fill>
      <patternFill patternType="solid">
        <fgColor theme="6" tint="0.3999"/>
        <bgColor rgb="FF44B3E1"/>
      </patternFill>
    </fill>
    <fill>
      <patternFill patternType="solid">
        <fgColor rgb="FFFFFF00"/>
        <bgColor rgb="FFFFFF00"/>
      </patternFill>
    </fill>
    <fill>
      <patternFill patternType="solid">
        <fgColor theme="7" tint="0.5999"/>
        <bgColor rgb="FFC0E6F5"/>
      </patternFill>
    </fill>
    <fill>
      <patternFill patternType="solid">
        <fgColor theme="5" tint="0.5999"/>
        <bgColor rgb="FFD1D1D1"/>
      </patternFill>
    </fill>
    <fill>
      <patternFill patternType="solid">
        <fgColor theme="9" tint="0.5999"/>
        <bgColor rgb="FFC2F1C8"/>
      </patternFill>
    </fill>
    <fill>
      <patternFill patternType="solid">
        <fgColor rgb="FFCC99FF"/>
        <bgColor rgb="FFC48AFF"/>
      </patternFill>
    </fill>
    <fill>
      <patternFill patternType="solid">
        <fgColor theme="0" tint="-0.25"/>
        <bgColor rgb="FFD1D1D1"/>
      </patternFill>
    </fill>
    <fill>
      <patternFill patternType="solid">
        <fgColor theme="2" tint="-0.1"/>
        <bgColor rgb="FFD9D9D9"/>
      </patternFill>
    </fill>
    <fill>
      <patternFill patternType="solid">
        <fgColor theme="6" tint="0.7999"/>
        <bgColor rgb="FFD9F2D0"/>
      </patternFill>
    </fill>
    <fill>
      <patternFill patternType="solid">
        <fgColor rgb="FFFF0000"/>
        <bgColor rgb="FF993300"/>
      </patternFill>
    </fill>
    <fill>
      <patternFill patternType="solid">
        <fgColor theme="0" tint="-0.15"/>
        <bgColor rgb="FFD1D1D1"/>
      </patternFill>
    </fill>
    <fill>
      <patternFill patternType="solid">
        <fgColor theme="0"/>
        <bgColor rgb="FFE8E8E8"/>
      </patternFill>
    </fill>
    <fill>
      <patternFill patternType="solid">
        <fgColor theme="9" tint="0.7999"/>
        <bgColor rgb="FFC2F1C8"/>
      </patternFill>
    </fill>
    <fill>
      <patternFill patternType="solid">
        <fgColor rgb="FFC0E6F5"/>
        <bgColor rgb="FFC1E5F5"/>
      </patternFill>
    </fill>
    <fill>
      <patternFill patternType="solid">
        <fgColor rgb="FF44B3E1"/>
        <bgColor rgb="FF61CBF4"/>
      </patternFill>
    </fill>
    <fill>
      <patternFill patternType="solid">
        <fgColor theme="4" tint="0.7999"/>
        <bgColor rgb="FFC0E6F5"/>
      </patternFill>
    </fill>
    <fill>
      <patternFill patternType="solid">
        <fgColor rgb="FFC48AFF"/>
        <bgColor rgb="FFCC99FF"/>
      </patternFill>
    </fill>
    <fill>
      <patternFill patternType="solid">
        <fgColor theme="2"/>
        <bgColor rgb="FFD9F2D0"/>
      </patternFill>
    </fill>
  </fills>
  <borders count="3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0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0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0" borderId="17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0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0" borderId="18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1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16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2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17" xfId="1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7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8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4" borderId="18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2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6" borderId="17" xfId="1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7" borderId="2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8" borderId="2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4" borderId="2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6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0" borderId="2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0" borderId="2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7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7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18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8" fillId="18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10" borderId="2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9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20" fillId="19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8" borderId="18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19" borderId="2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8" borderId="2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8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8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8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6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6" borderId="17" xfId="15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7" fontId="20" fillId="0" borderId="16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0" borderId="20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0" fillId="1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0" borderId="2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20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20" borderId="3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0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0" borderId="2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0" borderId="2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20" borderId="2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2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C48AFF"/>
      <rgbColor rgb="FF993366"/>
      <rgbColor rgb="FFE8E8E8"/>
      <rgbColor rgb="FFD9F2D0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61CBF4"/>
      <rgbColor rgb="FFC0E6F5"/>
      <rgbColor rgb="FFC2F1C8"/>
      <rgbColor rgb="FFD9D9D9"/>
      <rgbColor rgb="FF96DCF8"/>
      <rgbColor rgb="FFC1E5F5"/>
      <rgbColor rgb="FFCC99FF"/>
      <rgbColor rgb="FFF6C6AD"/>
      <rgbColor rgb="FF3366FF"/>
      <rgbColor rgb="FF44B3E1"/>
      <rgbColor rgb="FFB4E5A2"/>
      <rgbColor rgb="FFFFCC00"/>
      <rgbColor rgb="FFFF9900"/>
      <rgbColor rgb="FFFF6600"/>
      <rgbColor rgb="FF666699"/>
      <rgbColor rgb="FF969696"/>
      <rgbColor rgb="FF003366"/>
      <rgbColor rgb="FF47D45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D41"/>
  <sheetViews>
    <sheetView showFormulas="false" showGridLines="true" showRowColHeaders="true" showZeros="true" rightToLeft="false" tabSelected="false" showOutlineSymbols="true" defaultGridColor="true" view="normal" topLeftCell="A1" colorId="64" zoomScale="39" zoomScaleNormal="39" zoomScalePageLayoutView="27" workbookViewId="0">
      <pane xSplit="1" ySplit="5" topLeftCell="B34" activePane="bottomRight" state="frozen"/>
      <selection pane="topLeft" activeCell="A1" activeCellId="0" sqref="A1"/>
      <selection pane="topRight" activeCell="B1" activeCellId="0" sqref="B1"/>
      <selection pane="bottomLeft" activeCell="A34" activeCellId="0" sqref="A34"/>
      <selection pane="bottomRight" activeCell="X32" activeCellId="0" sqref="X32"/>
    </sheetView>
  </sheetViews>
  <sheetFormatPr defaultColWidth="8.71484375" defaultRowHeight="24" zeroHeight="false" outlineLevelRow="0" outlineLevelCol="0"/>
  <cols>
    <col collapsed="false" customWidth="true" hidden="false" outlineLevel="0" max="2" min="1" style="1" width="51.86"/>
    <col collapsed="false" customWidth="true" hidden="false" outlineLevel="0" max="3" min="3" style="1" width="41.43"/>
    <col collapsed="false" customWidth="true" hidden="false" outlineLevel="0" max="9" min="4" style="1" width="39.86"/>
    <col collapsed="false" customWidth="true" hidden="false" outlineLevel="0" max="11" min="10" style="1" width="38.43"/>
    <col collapsed="false" customWidth="true" hidden="false" outlineLevel="0" max="15" min="12" style="1" width="33.86"/>
    <col collapsed="false" customWidth="true" hidden="false" outlineLevel="0" max="17" min="16" style="1" width="40.14"/>
    <col collapsed="false" customWidth="true" hidden="false" outlineLevel="0" max="18" min="18" style="1" width="50.57"/>
    <col collapsed="false" customWidth="true" hidden="false" outlineLevel="0" max="19" min="19" style="1" width="39.86"/>
    <col collapsed="false" customWidth="true" hidden="false" outlineLevel="0" max="20" min="20" style="1" width="12"/>
    <col collapsed="false" customWidth="true" hidden="false" outlineLevel="0" max="21" min="21" style="1" width="47.43"/>
    <col collapsed="false" customWidth="true" hidden="false" outlineLevel="0" max="22" min="22" style="1" width="47.86"/>
    <col collapsed="false" customWidth="true" hidden="false" outlineLevel="0" max="23" min="23" style="1" width="28.86"/>
    <col collapsed="false" customWidth="true" hidden="false" outlineLevel="0" max="24" min="24" style="1" width="144.43"/>
    <col collapsed="false" customWidth="true" hidden="false" outlineLevel="0" max="25" min="25" style="2" width="27.86"/>
    <col collapsed="false" customWidth="true" hidden="false" outlineLevel="0" max="26" min="26" style="2" width="9.14"/>
    <col collapsed="false" customWidth="true" hidden="false" outlineLevel="0" max="27" min="27" style="3" width="37"/>
    <col collapsed="false" customWidth="false" hidden="false" outlineLevel="0" max="28" min="28" style="4" width="8.71"/>
    <col collapsed="false" customWidth="true" hidden="false" outlineLevel="0" max="29" min="29" style="4" width="109.43"/>
    <col collapsed="false" customWidth="true" hidden="false" outlineLevel="0" max="30" min="30" style="4" width="19.86"/>
    <col collapsed="false" customWidth="false" hidden="false" outlineLevel="0" max="16384" min="31" style="4" width="8.71"/>
  </cols>
  <sheetData>
    <row r="2" s="11" customFormat="true" ht="105" hidden="false" customHeight="true" outlineLevel="0" collapsed="false">
      <c r="A2" s="5"/>
      <c r="B2" s="5"/>
      <c r="C2" s="6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  <c r="X2" s="8"/>
      <c r="Y2" s="9"/>
      <c r="Z2" s="9"/>
      <c r="AA2" s="10"/>
    </row>
    <row r="3" s="11" customFormat="true" ht="62.25" hidden="false" customHeight="true" outlineLevel="0" collapsed="false">
      <c r="A3" s="5"/>
      <c r="B3" s="5"/>
      <c r="C3" s="12"/>
      <c r="D3" s="12"/>
      <c r="E3" s="12"/>
      <c r="F3" s="13"/>
      <c r="G3" s="13"/>
      <c r="H3" s="14" t="n">
        <v>46082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2"/>
      <c r="U3" s="15" t="s">
        <v>1</v>
      </c>
      <c r="V3" s="15"/>
      <c r="W3" s="15"/>
      <c r="X3" s="15"/>
      <c r="Y3" s="9"/>
      <c r="Z3" s="9"/>
      <c r="AA3" s="10"/>
    </row>
    <row r="4" s="29" customFormat="true" ht="93.75" hidden="false" customHeight="true" outlineLevel="0" collapsed="false">
      <c r="A4" s="16" t="s">
        <v>2</v>
      </c>
      <c r="B4" s="17" t="s">
        <v>3</v>
      </c>
      <c r="C4" s="17"/>
      <c r="D4" s="17" t="s">
        <v>4</v>
      </c>
      <c r="E4" s="17"/>
      <c r="F4" s="17" t="s">
        <v>5</v>
      </c>
      <c r="G4" s="17"/>
      <c r="H4" s="17" t="s">
        <v>6</v>
      </c>
      <c r="I4" s="17"/>
      <c r="J4" s="18" t="s">
        <v>7</v>
      </c>
      <c r="K4" s="18"/>
      <c r="L4" s="18" t="s">
        <v>8</v>
      </c>
      <c r="M4" s="18"/>
      <c r="N4" s="19" t="s">
        <v>9</v>
      </c>
      <c r="O4" s="20" t="s">
        <v>10</v>
      </c>
      <c r="P4" s="20"/>
      <c r="Q4" s="21" t="s">
        <v>11</v>
      </c>
      <c r="R4" s="21"/>
      <c r="S4" s="22" t="s">
        <v>12</v>
      </c>
      <c r="T4" s="17"/>
      <c r="U4" s="23" t="s">
        <v>13</v>
      </c>
      <c r="V4" s="24" t="s">
        <v>14</v>
      </c>
      <c r="W4" s="25" t="s">
        <v>15</v>
      </c>
      <c r="X4" s="26" t="s">
        <v>16</v>
      </c>
      <c r="Y4" s="27"/>
      <c r="Z4" s="27"/>
      <c r="AA4" s="28" t="s">
        <v>17</v>
      </c>
    </row>
    <row r="5" s="29" customFormat="true" ht="93.75" hidden="false" customHeight="true" outlineLevel="0" collapsed="false">
      <c r="A5" s="16"/>
      <c r="B5" s="30" t="s">
        <v>18</v>
      </c>
      <c r="C5" s="31" t="s">
        <v>19</v>
      </c>
      <c r="D5" s="30" t="s">
        <v>18</v>
      </c>
      <c r="E5" s="31" t="s">
        <v>19</v>
      </c>
      <c r="F5" s="30" t="s">
        <v>18</v>
      </c>
      <c r="G5" s="31" t="s">
        <v>19</v>
      </c>
      <c r="H5" s="30" t="s">
        <v>18</v>
      </c>
      <c r="I5" s="31" t="s">
        <v>19</v>
      </c>
      <c r="J5" s="30" t="s">
        <v>18</v>
      </c>
      <c r="K5" s="31" t="s">
        <v>19</v>
      </c>
      <c r="L5" s="30" t="s">
        <v>18</v>
      </c>
      <c r="M5" s="31" t="s">
        <v>19</v>
      </c>
      <c r="N5" s="19"/>
      <c r="O5" s="32" t="s">
        <v>20</v>
      </c>
      <c r="P5" s="33" t="s">
        <v>19</v>
      </c>
      <c r="Q5" s="34" t="s">
        <v>21</v>
      </c>
      <c r="R5" s="35" t="s">
        <v>22</v>
      </c>
      <c r="S5" s="30"/>
      <c r="T5" s="31"/>
      <c r="U5" s="36"/>
      <c r="V5" s="37"/>
      <c r="W5" s="38"/>
      <c r="X5" s="39"/>
      <c r="Y5" s="27"/>
      <c r="Z5" s="27"/>
      <c r="AA5" s="28"/>
    </row>
    <row r="6" s="51" customFormat="true" ht="51.75" hidden="false" customHeight="true" outlineLevel="0" collapsed="false">
      <c r="A6" s="40" t="s">
        <v>23</v>
      </c>
      <c r="B6" s="41"/>
      <c r="C6" s="42" t="n">
        <v>64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 t="s">
        <v>24</v>
      </c>
      <c r="Q6" s="44"/>
      <c r="R6" s="45"/>
      <c r="S6" s="46"/>
      <c r="T6" s="46"/>
      <c r="U6" s="43"/>
      <c r="V6" s="43"/>
      <c r="W6" s="47"/>
      <c r="X6" s="48"/>
      <c r="Y6" s="49"/>
      <c r="Z6" s="49"/>
      <c r="AA6" s="50" t="n">
        <f aca="false">C6</f>
        <v>64</v>
      </c>
      <c r="AC6" s="52" t="s">
        <v>25</v>
      </c>
    </row>
    <row r="7" s="51" customFormat="true" ht="60" hidden="false" customHeight="true" outlineLevel="0" collapsed="false">
      <c r="A7" s="53" t="n">
        <v>46082</v>
      </c>
      <c r="B7" s="54" t="n">
        <v>5.5</v>
      </c>
      <c r="C7" s="55" t="n">
        <v>32100</v>
      </c>
      <c r="D7" s="55" t="n">
        <v>5</v>
      </c>
      <c r="E7" s="55" t="n">
        <v>34300</v>
      </c>
      <c r="F7" s="55"/>
      <c r="G7" s="55"/>
      <c r="H7" s="55" t="n">
        <v>34</v>
      </c>
      <c r="I7" s="55" t="n">
        <v>305800</v>
      </c>
      <c r="J7" s="55" t="n">
        <v>4</v>
      </c>
      <c r="K7" s="55" t="n">
        <v>37250</v>
      </c>
      <c r="L7" s="55" t="n">
        <v>0.5</v>
      </c>
      <c r="M7" s="55" t="n">
        <v>1300</v>
      </c>
      <c r="N7" s="55" t="n">
        <v>85</v>
      </c>
      <c r="O7" s="55" t="n">
        <v>2</v>
      </c>
      <c r="P7" s="56" t="n">
        <v>7500</v>
      </c>
      <c r="Q7" s="57" t="n">
        <f aca="false">B7+D7+F7+H7+J7+L7</f>
        <v>49</v>
      </c>
      <c r="R7" s="58" t="n">
        <f aca="false">C7+E7+G7+I7+K7+M7</f>
        <v>410750</v>
      </c>
      <c r="S7" s="59" t="s">
        <v>26</v>
      </c>
      <c r="T7" s="60"/>
      <c r="U7" s="61" t="n">
        <v>36150</v>
      </c>
      <c r="V7" s="62"/>
      <c r="W7" s="63"/>
      <c r="X7" s="64" t="s">
        <v>27</v>
      </c>
      <c r="Y7" s="49"/>
      <c r="Z7" s="49"/>
      <c r="AA7" s="65"/>
      <c r="AC7" s="52"/>
      <c r="AD7" s="66"/>
    </row>
    <row r="8" s="51" customFormat="true" ht="60" hidden="false" customHeight="true" outlineLevel="0" collapsed="false">
      <c r="A8" s="53" t="n">
        <v>46083</v>
      </c>
      <c r="B8" s="54" t="n">
        <v>10.5</v>
      </c>
      <c r="C8" s="67" t="n">
        <v>52800</v>
      </c>
      <c r="D8" s="67"/>
      <c r="E8" s="55"/>
      <c r="F8" s="67"/>
      <c r="G8" s="67"/>
      <c r="H8" s="67" t="n">
        <v>32.5</v>
      </c>
      <c r="I8" s="55" t="n">
        <v>146650</v>
      </c>
      <c r="J8" s="55" t="n">
        <v>4</v>
      </c>
      <c r="K8" s="55" t="n">
        <v>55950</v>
      </c>
      <c r="L8" s="55"/>
      <c r="M8" s="55"/>
      <c r="N8" s="55" t="n">
        <v>47.5</v>
      </c>
      <c r="O8" s="55" t="n">
        <v>1</v>
      </c>
      <c r="P8" s="56" t="n">
        <v>9300</v>
      </c>
      <c r="Q8" s="57" t="n">
        <f aca="false">B8+D8+F8+H8+J8+L8</f>
        <v>47</v>
      </c>
      <c r="R8" s="68" t="n">
        <f aca="false">C8+E8+G8+I8+K8+M8</f>
        <v>255400</v>
      </c>
      <c r="S8" s="69" t="s">
        <v>26</v>
      </c>
      <c r="T8" s="70"/>
      <c r="U8" s="71" t="n">
        <v>61050</v>
      </c>
      <c r="V8" s="72"/>
      <c r="W8" s="73"/>
      <c r="X8" s="74"/>
      <c r="Y8" s="49"/>
      <c r="Z8" s="49"/>
      <c r="AA8" s="65"/>
    </row>
    <row r="9" s="51" customFormat="true" ht="60" hidden="false" customHeight="true" outlineLevel="0" collapsed="false">
      <c r="A9" s="53" t="n">
        <v>46084</v>
      </c>
      <c r="B9" s="54" t="n">
        <v>5.5</v>
      </c>
      <c r="C9" s="67" t="n">
        <v>15150</v>
      </c>
      <c r="D9" s="67" t="n">
        <v>2.5</v>
      </c>
      <c r="E9" s="55" t="n">
        <v>9300</v>
      </c>
      <c r="F9" s="67"/>
      <c r="G9" s="67"/>
      <c r="H9" s="67" t="n">
        <v>39.5</v>
      </c>
      <c r="I9" s="55" t="n">
        <v>375900</v>
      </c>
      <c r="J9" s="55"/>
      <c r="K9" s="55"/>
      <c r="L9" s="55"/>
      <c r="M9" s="55"/>
      <c r="N9" s="55" t="n">
        <v>69.5</v>
      </c>
      <c r="O9" s="55" t="n">
        <v>25.5</v>
      </c>
      <c r="P9" s="56" t="n">
        <v>222050</v>
      </c>
      <c r="Q9" s="57" t="n">
        <f aca="false">B9+D9+F9+H9+J9+L9</f>
        <v>47.5</v>
      </c>
      <c r="R9" s="68" t="n">
        <f aca="false">C9+E9+G9+I9+K9+M9</f>
        <v>400350</v>
      </c>
      <c r="S9" s="69" t="s">
        <v>28</v>
      </c>
      <c r="T9" s="70"/>
      <c r="U9" s="71" t="n">
        <v>19500</v>
      </c>
      <c r="V9" s="72"/>
      <c r="W9" s="73"/>
      <c r="X9" s="74" t="s">
        <v>29</v>
      </c>
      <c r="Y9" s="49"/>
      <c r="Z9" s="49"/>
      <c r="AA9" s="65"/>
    </row>
    <row r="10" s="51" customFormat="true" ht="60" hidden="false" customHeight="true" outlineLevel="0" collapsed="false">
      <c r="A10" s="53" t="n">
        <v>46085</v>
      </c>
      <c r="B10" s="54" t="n">
        <v>7.5</v>
      </c>
      <c r="C10" s="67" t="n">
        <v>30900</v>
      </c>
      <c r="D10" s="67" t="n">
        <v>4.5</v>
      </c>
      <c r="E10" s="55" t="n">
        <v>13250</v>
      </c>
      <c r="F10" s="67"/>
      <c r="G10" s="67"/>
      <c r="H10" s="67" t="n">
        <v>24.5</v>
      </c>
      <c r="I10" s="55" t="n">
        <v>164050</v>
      </c>
      <c r="J10" s="55" t="n">
        <v>2</v>
      </c>
      <c r="K10" s="55" t="n">
        <v>13950</v>
      </c>
      <c r="L10" s="55"/>
      <c r="M10" s="55"/>
      <c r="N10" s="55" t="n">
        <v>42.5</v>
      </c>
      <c r="O10" s="55" t="n">
        <v>20</v>
      </c>
      <c r="P10" s="56" t="n">
        <v>180000</v>
      </c>
      <c r="Q10" s="57" t="n">
        <f aca="false">B10+D10+F10+H10+J10+L10</f>
        <v>38.5</v>
      </c>
      <c r="R10" s="68" t="n">
        <f aca="false">C10+E10+G10+I10+K10+M10</f>
        <v>222150</v>
      </c>
      <c r="S10" s="69" t="s">
        <v>28</v>
      </c>
      <c r="T10" s="70"/>
      <c r="U10" s="71" t="n">
        <v>32850</v>
      </c>
      <c r="V10" s="72"/>
      <c r="W10" s="73"/>
      <c r="X10" s="74"/>
      <c r="Y10" s="49"/>
      <c r="Z10" s="49"/>
      <c r="AA10" s="65"/>
    </row>
    <row r="11" s="51" customFormat="true" ht="60" hidden="false" customHeight="true" outlineLevel="0" collapsed="false">
      <c r="A11" s="53" t="n">
        <v>46086</v>
      </c>
      <c r="B11" s="54" t="n">
        <v>4</v>
      </c>
      <c r="C11" s="67" t="n">
        <v>20600</v>
      </c>
      <c r="D11" s="67" t="n">
        <v>4.5</v>
      </c>
      <c r="E11" s="55" t="n">
        <v>20250</v>
      </c>
      <c r="F11" s="67"/>
      <c r="G11" s="67"/>
      <c r="H11" s="67" t="n">
        <v>21</v>
      </c>
      <c r="I11" s="55" t="n">
        <v>308350</v>
      </c>
      <c r="J11" s="55" t="n">
        <v>2.5</v>
      </c>
      <c r="K11" s="55" t="n">
        <v>12800</v>
      </c>
      <c r="L11" s="55" t="n">
        <v>0.5</v>
      </c>
      <c r="M11" s="55" t="n">
        <v>720</v>
      </c>
      <c r="N11" s="55" t="n">
        <v>69</v>
      </c>
      <c r="O11" s="55" t="n">
        <v>1</v>
      </c>
      <c r="P11" s="56" t="n">
        <v>3900</v>
      </c>
      <c r="Q11" s="57" t="n">
        <f aca="false">B11+D11+F11+H11+J11+L11</f>
        <v>32.5</v>
      </c>
      <c r="R11" s="68" t="n">
        <f aca="false">C11+E11+G11+I11+K11+M11</f>
        <v>362720</v>
      </c>
      <c r="S11" s="69" t="s">
        <v>28</v>
      </c>
      <c r="T11" s="70"/>
      <c r="U11" s="71" t="n">
        <v>15800</v>
      </c>
      <c r="V11" s="72"/>
      <c r="W11" s="73"/>
      <c r="X11" s="74"/>
      <c r="Y11" s="49"/>
      <c r="Z11" s="49"/>
      <c r="AA11" s="65"/>
    </row>
    <row r="12" s="51" customFormat="true" ht="60" hidden="false" customHeight="true" outlineLevel="0" collapsed="false">
      <c r="A12" s="53" t="n">
        <v>46087</v>
      </c>
      <c r="B12" s="54" t="n">
        <v>5.5</v>
      </c>
      <c r="C12" s="67" t="n">
        <v>36400</v>
      </c>
      <c r="D12" s="67" t="n">
        <v>1.5</v>
      </c>
      <c r="E12" s="55" t="n">
        <v>13550</v>
      </c>
      <c r="F12" s="67"/>
      <c r="G12" s="67"/>
      <c r="H12" s="67" t="n">
        <v>43</v>
      </c>
      <c r="I12" s="55" t="n">
        <v>241800</v>
      </c>
      <c r="J12" s="55" t="n">
        <v>6.5</v>
      </c>
      <c r="K12" s="55" t="n">
        <v>33800</v>
      </c>
      <c r="L12" s="55"/>
      <c r="M12" s="55"/>
      <c r="N12" s="55" t="n">
        <v>62.5</v>
      </c>
      <c r="O12" s="55" t="n">
        <v>1</v>
      </c>
      <c r="P12" s="56" t="n">
        <v>4150</v>
      </c>
      <c r="Q12" s="57" t="n">
        <f aca="false">B12+D12+F12+H12+J12+L12</f>
        <v>56.5</v>
      </c>
      <c r="R12" s="68" t="n">
        <f aca="false">C12+E12+G12+I12+K12+M12</f>
        <v>325550</v>
      </c>
      <c r="S12" s="69" t="s">
        <v>30</v>
      </c>
      <c r="T12" s="70"/>
      <c r="U12" s="71" t="n">
        <v>46300</v>
      </c>
      <c r="V12" s="72"/>
      <c r="W12" s="73"/>
      <c r="X12" s="74"/>
      <c r="Y12" s="49"/>
      <c r="Z12" s="49"/>
      <c r="AA12" s="65"/>
    </row>
    <row r="13" s="51" customFormat="true" ht="60" hidden="false" customHeight="true" outlineLevel="0" collapsed="false">
      <c r="A13" s="53" t="n">
        <v>46088</v>
      </c>
      <c r="B13" s="54" t="n">
        <v>8.5</v>
      </c>
      <c r="C13" s="67" t="n">
        <v>40300</v>
      </c>
      <c r="D13" s="67" t="n">
        <v>1.5</v>
      </c>
      <c r="E13" s="55" t="n">
        <v>13850</v>
      </c>
      <c r="F13" s="67"/>
      <c r="G13" s="67"/>
      <c r="H13" s="67" t="n">
        <v>41.5</v>
      </c>
      <c r="I13" s="55" t="n">
        <v>272900</v>
      </c>
      <c r="J13" s="55" t="n">
        <v>1</v>
      </c>
      <c r="K13" s="55" t="n">
        <v>6800</v>
      </c>
      <c r="L13" s="55" t="n">
        <v>0.5</v>
      </c>
      <c r="M13" s="55" t="n">
        <v>1600</v>
      </c>
      <c r="N13" s="55" t="n">
        <v>69.5</v>
      </c>
      <c r="O13" s="55" t="n">
        <v>1.5</v>
      </c>
      <c r="P13" s="56" t="n">
        <v>14350</v>
      </c>
      <c r="Q13" s="57" t="n">
        <f aca="false">B13+D13+F13+H13+J13+L13</f>
        <v>53</v>
      </c>
      <c r="R13" s="68" t="n">
        <f aca="false">C13+E13+G13+I13+K13+M13</f>
        <v>335450</v>
      </c>
      <c r="S13" s="69" t="s">
        <v>26</v>
      </c>
      <c r="T13" s="70"/>
      <c r="U13" s="71" t="n">
        <v>46150</v>
      </c>
      <c r="V13" s="72"/>
      <c r="W13" s="73"/>
      <c r="X13" s="74" t="s">
        <v>31</v>
      </c>
      <c r="Y13" s="49"/>
      <c r="Z13" s="49"/>
      <c r="AA13" s="65"/>
    </row>
    <row r="14" s="51" customFormat="true" ht="60" hidden="false" customHeight="true" outlineLevel="0" collapsed="false">
      <c r="A14" s="53" t="n">
        <v>46089</v>
      </c>
      <c r="B14" s="54" t="n">
        <v>3</v>
      </c>
      <c r="C14" s="67" t="n">
        <v>6200</v>
      </c>
      <c r="D14" s="67" t="n">
        <v>4.5</v>
      </c>
      <c r="E14" s="55" t="n">
        <v>46400</v>
      </c>
      <c r="F14" s="67"/>
      <c r="G14" s="67"/>
      <c r="H14" s="67" t="n">
        <v>54</v>
      </c>
      <c r="I14" s="55" t="n">
        <v>251400</v>
      </c>
      <c r="J14" s="55" t="n">
        <v>3</v>
      </c>
      <c r="K14" s="55" t="n">
        <v>25100</v>
      </c>
      <c r="L14" s="55"/>
      <c r="M14" s="55"/>
      <c r="N14" s="55" t="n">
        <v>67</v>
      </c>
      <c r="O14" s="55"/>
      <c r="P14" s="56"/>
      <c r="Q14" s="57" t="n">
        <f aca="false">B14+D14+F14+H14+J14+L14</f>
        <v>64.5</v>
      </c>
      <c r="R14" s="68" t="n">
        <f aca="false">C14+E14+G14+I14+K14+M14</f>
        <v>329100</v>
      </c>
      <c r="S14" s="69" t="s">
        <v>32</v>
      </c>
      <c r="T14" s="70"/>
      <c r="U14" s="71" t="n">
        <v>5700</v>
      </c>
      <c r="V14" s="72"/>
      <c r="W14" s="73"/>
      <c r="X14" s="74"/>
      <c r="Y14" s="49"/>
      <c r="Z14" s="49"/>
      <c r="AA14" s="65"/>
    </row>
    <row r="15" s="51" customFormat="true" ht="60" hidden="false" customHeight="true" outlineLevel="0" collapsed="false">
      <c r="A15" s="53" t="n">
        <v>46090</v>
      </c>
      <c r="B15" s="54" t="n">
        <v>7</v>
      </c>
      <c r="C15" s="67" t="n">
        <v>44750</v>
      </c>
      <c r="D15" s="67" t="n">
        <v>2.5</v>
      </c>
      <c r="E15" s="55" t="n">
        <v>9700</v>
      </c>
      <c r="F15" s="67"/>
      <c r="G15" s="67"/>
      <c r="H15" s="67" t="n">
        <v>30</v>
      </c>
      <c r="I15" s="55" t="n">
        <v>305300</v>
      </c>
      <c r="J15" s="55" t="n">
        <v>4</v>
      </c>
      <c r="K15" s="55" t="n">
        <v>31850</v>
      </c>
      <c r="L15" s="55"/>
      <c r="M15" s="55"/>
      <c r="N15" s="55" t="n">
        <v>55.5</v>
      </c>
      <c r="O15" s="55" t="n">
        <v>1</v>
      </c>
      <c r="P15" s="56" t="n">
        <v>6000</v>
      </c>
      <c r="Q15" s="57" t="n">
        <f aca="false">B15+D15+F15+H15+J15+L15</f>
        <v>43.5</v>
      </c>
      <c r="R15" s="68" t="n">
        <f aca="false">C15+E15+G15+I15+K15+M15</f>
        <v>391600</v>
      </c>
      <c r="S15" s="69" t="s">
        <v>26</v>
      </c>
      <c r="T15" s="70"/>
      <c r="U15" s="71" t="n">
        <v>47500</v>
      </c>
      <c r="V15" s="72"/>
      <c r="W15" s="73"/>
      <c r="X15" s="74"/>
      <c r="Y15" s="49"/>
      <c r="Z15" s="49"/>
      <c r="AA15" s="65"/>
    </row>
    <row r="16" s="51" customFormat="true" ht="60" hidden="false" customHeight="true" outlineLevel="0" collapsed="false">
      <c r="A16" s="53" t="n">
        <v>46091</v>
      </c>
      <c r="B16" s="54" t="n">
        <v>3.5</v>
      </c>
      <c r="C16" s="67" t="n">
        <v>41850</v>
      </c>
      <c r="D16" s="67" t="n">
        <v>2</v>
      </c>
      <c r="E16" s="55" t="n">
        <v>16850</v>
      </c>
      <c r="F16" s="67"/>
      <c r="G16" s="67"/>
      <c r="H16" s="67" t="n">
        <v>31.5</v>
      </c>
      <c r="I16" s="55" t="n">
        <v>199150</v>
      </c>
      <c r="J16" s="55" t="n">
        <v>7.5</v>
      </c>
      <c r="K16" s="55" t="n">
        <v>48250</v>
      </c>
      <c r="L16" s="55"/>
      <c r="M16" s="55"/>
      <c r="N16" s="55" t="n">
        <v>73.5</v>
      </c>
      <c r="O16" s="55"/>
      <c r="P16" s="56"/>
      <c r="Q16" s="57" t="n">
        <f aca="false">B16+D16+F16+H16+J16+L16</f>
        <v>44.5</v>
      </c>
      <c r="R16" s="68" t="n">
        <f aca="false">C16+E16+G16+I16+K16+M16</f>
        <v>306100</v>
      </c>
      <c r="S16" s="69" t="s">
        <v>26</v>
      </c>
      <c r="T16" s="70"/>
      <c r="U16" s="71" t="n">
        <v>24350</v>
      </c>
      <c r="V16" s="72"/>
      <c r="W16" s="73"/>
      <c r="X16" s="74"/>
      <c r="Y16" s="49"/>
      <c r="Z16" s="49"/>
      <c r="AA16" s="65"/>
    </row>
    <row r="17" s="51" customFormat="true" ht="60" hidden="false" customHeight="true" outlineLevel="0" collapsed="false">
      <c r="A17" s="53" t="n">
        <v>46092</v>
      </c>
      <c r="B17" s="54" t="n">
        <v>4.5</v>
      </c>
      <c r="C17" s="67" t="n">
        <v>22200</v>
      </c>
      <c r="D17" s="67" t="n">
        <v>2.5</v>
      </c>
      <c r="E17" s="55" t="n">
        <v>24200</v>
      </c>
      <c r="F17" s="67"/>
      <c r="G17" s="67"/>
      <c r="H17" s="67" t="n">
        <v>28</v>
      </c>
      <c r="I17" s="55" t="n">
        <v>163850</v>
      </c>
      <c r="J17" s="55" t="n">
        <v>6</v>
      </c>
      <c r="K17" s="55" t="n">
        <v>34500</v>
      </c>
      <c r="L17" s="55"/>
      <c r="M17" s="55"/>
      <c r="N17" s="55" t="n">
        <v>37.5</v>
      </c>
      <c r="O17" s="55" t="n">
        <v>1</v>
      </c>
      <c r="P17" s="56" t="n">
        <v>6250</v>
      </c>
      <c r="Q17" s="57" t="n">
        <f aca="false">B17+D17+F17+H17+J17+L17</f>
        <v>41</v>
      </c>
      <c r="R17" s="68" t="n">
        <f aca="false">C17+E17+G17+I17+K17+M17</f>
        <v>244750</v>
      </c>
      <c r="S17" s="69" t="s">
        <v>28</v>
      </c>
      <c r="T17" s="70"/>
      <c r="U17" s="71" t="n">
        <v>20850</v>
      </c>
      <c r="V17" s="72"/>
      <c r="W17" s="73"/>
      <c r="X17" s="75"/>
      <c r="Y17" s="49"/>
      <c r="Z17" s="49"/>
      <c r="AA17" s="65"/>
    </row>
    <row r="18" s="51" customFormat="true" ht="60" hidden="false" customHeight="true" outlineLevel="0" collapsed="false">
      <c r="A18" s="53" t="n">
        <v>46093</v>
      </c>
      <c r="B18" s="54" t="n">
        <v>5.5</v>
      </c>
      <c r="C18" s="67" t="n">
        <v>35650</v>
      </c>
      <c r="D18" s="67" t="n">
        <v>6</v>
      </c>
      <c r="E18" s="55" t="n">
        <v>30100</v>
      </c>
      <c r="F18" s="67"/>
      <c r="G18" s="67"/>
      <c r="H18" s="67" t="n">
        <v>25</v>
      </c>
      <c r="I18" s="55" t="n">
        <v>166850</v>
      </c>
      <c r="J18" s="55" t="n">
        <v>1</v>
      </c>
      <c r="K18" s="55" t="n">
        <v>4950</v>
      </c>
      <c r="L18" s="55"/>
      <c r="M18" s="55"/>
      <c r="N18" s="55" t="n">
        <v>54</v>
      </c>
      <c r="O18" s="55" t="n">
        <v>0</v>
      </c>
      <c r="P18" s="56" t="n">
        <v>0</v>
      </c>
      <c r="Q18" s="57" t="n">
        <f aca="false">B18+D18+F18+H18+J18+L18</f>
        <v>37.5</v>
      </c>
      <c r="R18" s="68" t="n">
        <f aca="false">C18+E18+G18+I18+K18+M18</f>
        <v>237550</v>
      </c>
      <c r="S18" s="69" t="s">
        <v>33</v>
      </c>
      <c r="T18" s="70"/>
      <c r="U18" s="71" t="n">
        <v>39650</v>
      </c>
      <c r="V18" s="72"/>
      <c r="W18" s="73"/>
      <c r="X18" s="74"/>
      <c r="Y18" s="49"/>
      <c r="Z18" s="49"/>
      <c r="AA18" s="65"/>
    </row>
    <row r="19" s="51" customFormat="true" ht="60" hidden="false" customHeight="true" outlineLevel="0" collapsed="false">
      <c r="A19" s="53" t="n">
        <v>46094</v>
      </c>
      <c r="B19" s="54" t="n">
        <v>7.5</v>
      </c>
      <c r="C19" s="67" t="n">
        <v>25350</v>
      </c>
      <c r="D19" s="67" t="n">
        <v>4</v>
      </c>
      <c r="E19" s="55" t="n">
        <v>26650</v>
      </c>
      <c r="F19" s="67"/>
      <c r="G19" s="67"/>
      <c r="H19" s="67" t="n">
        <v>38</v>
      </c>
      <c r="I19" s="55" t="n">
        <v>289350</v>
      </c>
      <c r="J19" s="55" t="n">
        <v>1</v>
      </c>
      <c r="K19" s="55" t="n">
        <v>3750</v>
      </c>
      <c r="L19" s="55"/>
      <c r="M19" s="55"/>
      <c r="N19" s="55" t="n">
        <v>57.5</v>
      </c>
      <c r="O19" s="55" t="n">
        <v>1</v>
      </c>
      <c r="P19" s="56" t="n">
        <v>4350</v>
      </c>
      <c r="Q19" s="57" t="n">
        <f aca="false">B19+D19+F19+H19+J19+L19</f>
        <v>50.5</v>
      </c>
      <c r="R19" s="68" t="n">
        <f aca="false">C19+E19+G19+I19+K19+M19</f>
        <v>345100</v>
      </c>
      <c r="S19" s="69" t="s">
        <v>30</v>
      </c>
      <c r="T19" s="70"/>
      <c r="U19" s="71" t="n">
        <v>38000</v>
      </c>
      <c r="V19" s="72"/>
      <c r="W19" s="73"/>
      <c r="X19" s="75"/>
      <c r="Y19" s="49"/>
      <c r="Z19" s="49"/>
      <c r="AA19" s="65"/>
    </row>
    <row r="20" s="51" customFormat="true" ht="60" hidden="false" customHeight="true" outlineLevel="0" collapsed="false">
      <c r="A20" s="53" t="n">
        <v>46095</v>
      </c>
      <c r="B20" s="54" t="n">
        <v>10.5</v>
      </c>
      <c r="C20" s="67" t="n">
        <v>36850</v>
      </c>
      <c r="D20" s="67" t="n">
        <v>5</v>
      </c>
      <c r="E20" s="55" t="n">
        <v>19000</v>
      </c>
      <c r="F20" s="67"/>
      <c r="G20" s="67"/>
      <c r="H20" s="67" t="n">
        <v>56.5</v>
      </c>
      <c r="I20" s="55" t="n">
        <v>346400</v>
      </c>
      <c r="J20" s="55" t="n">
        <v>11.5</v>
      </c>
      <c r="K20" s="55" t="n">
        <v>71500</v>
      </c>
      <c r="L20" s="55"/>
      <c r="M20" s="55"/>
      <c r="N20" s="55" t="n">
        <v>113</v>
      </c>
      <c r="O20" s="55"/>
      <c r="P20" s="56"/>
      <c r="Q20" s="57" t="n">
        <f aca="false">B20+D20+F20+H20+J20+L20</f>
        <v>83.5</v>
      </c>
      <c r="R20" s="68" t="n">
        <f aca="false">C20+E20+G20+I20+K20+M20</f>
        <v>473750</v>
      </c>
      <c r="S20" s="69" t="s">
        <v>26</v>
      </c>
      <c r="T20" s="70"/>
      <c r="U20" s="71" t="n">
        <v>48250</v>
      </c>
      <c r="V20" s="72"/>
      <c r="W20" s="73"/>
      <c r="X20" s="75"/>
      <c r="Y20" s="49"/>
      <c r="Z20" s="49"/>
      <c r="AA20" s="65"/>
    </row>
    <row r="21" s="51" customFormat="true" ht="60" hidden="false" customHeight="true" outlineLevel="0" collapsed="false">
      <c r="A21" s="53" t="n">
        <v>46096</v>
      </c>
      <c r="B21" s="76" t="n">
        <v>9.5</v>
      </c>
      <c r="C21" s="67" t="n">
        <v>84200</v>
      </c>
      <c r="D21" s="67" t="n">
        <v>6</v>
      </c>
      <c r="E21" s="55" t="n">
        <v>17050</v>
      </c>
      <c r="F21" s="67"/>
      <c r="G21" s="67"/>
      <c r="H21" s="67" t="n">
        <v>40</v>
      </c>
      <c r="I21" s="55" t="n">
        <v>511250</v>
      </c>
      <c r="J21" s="55" t="n">
        <v>2</v>
      </c>
      <c r="K21" s="55" t="n">
        <v>10050</v>
      </c>
      <c r="L21" s="55"/>
      <c r="M21" s="55"/>
      <c r="N21" s="55" t="n">
        <v>98.5</v>
      </c>
      <c r="O21" s="55" t="n">
        <v>3</v>
      </c>
      <c r="P21" s="56" t="n">
        <v>39100</v>
      </c>
      <c r="Q21" s="57" t="n">
        <f aca="false">B21+D21+F21+H21+J21+L21</f>
        <v>57.5</v>
      </c>
      <c r="R21" s="68" t="n">
        <f aca="false">C21+E21+G21+I21+K21+M21</f>
        <v>622550</v>
      </c>
      <c r="S21" s="69" t="s">
        <v>26</v>
      </c>
      <c r="T21" s="70"/>
      <c r="U21" s="71" t="n">
        <v>71750</v>
      </c>
      <c r="V21" s="72"/>
      <c r="W21" s="73"/>
      <c r="X21" s="75"/>
      <c r="Y21" s="49"/>
      <c r="Z21" s="49"/>
      <c r="AA21" s="65"/>
    </row>
    <row r="22" s="51" customFormat="true" ht="60" hidden="false" customHeight="true" outlineLevel="0" collapsed="false">
      <c r="A22" s="53" t="n">
        <v>46097</v>
      </c>
      <c r="B22" s="76" t="n">
        <v>6</v>
      </c>
      <c r="C22" s="67" t="n">
        <v>39000</v>
      </c>
      <c r="D22" s="67" t="n">
        <v>1</v>
      </c>
      <c r="E22" s="55" t="n">
        <v>6850</v>
      </c>
      <c r="F22" s="67"/>
      <c r="G22" s="67"/>
      <c r="H22" s="67" t="n">
        <v>51</v>
      </c>
      <c r="I22" s="55" t="n">
        <v>234450</v>
      </c>
      <c r="J22" s="55" t="n">
        <v>1.5</v>
      </c>
      <c r="K22" s="55" t="n">
        <v>7500</v>
      </c>
      <c r="L22" s="55"/>
      <c r="M22" s="55"/>
      <c r="N22" s="55" t="n">
        <v>57.5</v>
      </c>
      <c r="O22" s="55" t="n">
        <v>9.5</v>
      </c>
      <c r="P22" s="56" t="n">
        <v>68450</v>
      </c>
      <c r="Q22" s="57" t="n">
        <f aca="false">B22+D22+F22+H22+J22+L22</f>
        <v>59.5</v>
      </c>
      <c r="R22" s="68" t="n">
        <f aca="false">C22+E22+G22+I22+K22+M22</f>
        <v>287800</v>
      </c>
      <c r="S22" s="69" t="s">
        <v>26</v>
      </c>
      <c r="T22" s="70"/>
      <c r="U22" s="71" t="n">
        <v>49800</v>
      </c>
      <c r="V22" s="72"/>
      <c r="W22" s="73"/>
      <c r="X22" s="74" t="s">
        <v>34</v>
      </c>
      <c r="Y22" s="49"/>
      <c r="Z22" s="49"/>
      <c r="AA22" s="65"/>
    </row>
    <row r="23" s="51" customFormat="true" ht="60" hidden="false" customHeight="true" outlineLevel="0" collapsed="false">
      <c r="A23" s="53" t="n">
        <v>46098</v>
      </c>
      <c r="B23" s="76" t="n">
        <v>11.5</v>
      </c>
      <c r="C23" s="67" t="n">
        <v>50600</v>
      </c>
      <c r="D23" s="67" t="n">
        <v>3</v>
      </c>
      <c r="E23" s="55" t="n">
        <v>12200</v>
      </c>
      <c r="F23" s="67" t="n">
        <v>1</v>
      </c>
      <c r="G23" s="67" t="n">
        <v>7600</v>
      </c>
      <c r="H23" s="67" t="n">
        <v>42.5</v>
      </c>
      <c r="I23" s="55" t="n">
        <v>420100</v>
      </c>
      <c r="J23" s="55" t="n">
        <v>1.5</v>
      </c>
      <c r="K23" s="55" t="n">
        <v>11750</v>
      </c>
      <c r="L23" s="55" t="n">
        <v>0.5</v>
      </c>
      <c r="M23" s="55" t="n">
        <v>230</v>
      </c>
      <c r="N23" s="55" t="n">
        <v>78.5</v>
      </c>
      <c r="O23" s="55"/>
      <c r="P23" s="56"/>
      <c r="Q23" s="57" t="n">
        <f aca="false">B23+D23+F23+H23+J23+L23</f>
        <v>60</v>
      </c>
      <c r="R23" s="68" t="n">
        <f aca="false">C23+E23+G23+I23+K23+M23</f>
        <v>502480</v>
      </c>
      <c r="S23" s="69" t="s">
        <v>26</v>
      </c>
      <c r="T23" s="70"/>
      <c r="U23" s="71" t="n">
        <v>58500</v>
      </c>
      <c r="V23" s="72"/>
      <c r="W23" s="73"/>
      <c r="X23" s="75"/>
      <c r="Y23" s="49"/>
      <c r="Z23" s="49"/>
      <c r="AA23" s="65"/>
    </row>
    <row r="24" s="51" customFormat="true" ht="60" hidden="false" customHeight="true" outlineLevel="0" collapsed="false">
      <c r="A24" s="53" t="n">
        <v>46099</v>
      </c>
      <c r="B24" s="76" t="n">
        <v>13.5</v>
      </c>
      <c r="C24" s="67" t="n">
        <v>65500</v>
      </c>
      <c r="D24" s="67" t="n">
        <v>4</v>
      </c>
      <c r="E24" s="55" t="n">
        <v>30800</v>
      </c>
      <c r="F24" s="67"/>
      <c r="G24" s="67"/>
      <c r="H24" s="67" t="n">
        <v>51</v>
      </c>
      <c r="I24" s="55" t="n">
        <v>260200</v>
      </c>
      <c r="J24" s="55" t="n">
        <v>2.5</v>
      </c>
      <c r="K24" s="55" t="n">
        <v>11000</v>
      </c>
      <c r="L24" s="55" t="n">
        <v>1</v>
      </c>
      <c r="M24" s="55" t="n">
        <v>2450</v>
      </c>
      <c r="N24" s="55" t="n">
        <v>82</v>
      </c>
      <c r="O24" s="55" t="n">
        <v>2</v>
      </c>
      <c r="P24" s="56" t="n">
        <v>11800</v>
      </c>
      <c r="Q24" s="57" t="n">
        <f aca="false">B24+D24+F24+H24+J24+L24</f>
        <v>72</v>
      </c>
      <c r="R24" s="68" t="n">
        <f aca="false">C24+E24+G24+I24+K24+M24</f>
        <v>369950</v>
      </c>
      <c r="S24" s="69" t="s">
        <v>26</v>
      </c>
      <c r="T24" s="70"/>
      <c r="U24" s="71" t="n">
        <v>95000</v>
      </c>
      <c r="V24" s="72"/>
      <c r="W24" s="73"/>
      <c r="X24" s="75"/>
      <c r="Y24" s="49"/>
      <c r="Z24" s="49"/>
      <c r="AA24" s="65"/>
    </row>
    <row r="25" s="51" customFormat="true" ht="60" hidden="false" customHeight="true" outlineLevel="0" collapsed="false">
      <c r="A25" s="53" t="n">
        <v>46100</v>
      </c>
      <c r="B25" s="76" t="n">
        <v>7.5</v>
      </c>
      <c r="C25" s="77" t="n">
        <v>80600</v>
      </c>
      <c r="D25" s="67" t="n">
        <v>3.5</v>
      </c>
      <c r="E25" s="55" t="n">
        <v>17200</v>
      </c>
      <c r="F25" s="67"/>
      <c r="G25" s="67"/>
      <c r="H25" s="67" t="n">
        <v>26.5</v>
      </c>
      <c r="I25" s="55" t="n">
        <v>158750</v>
      </c>
      <c r="J25" s="55" t="n">
        <v>3.5</v>
      </c>
      <c r="K25" s="55" t="n">
        <v>20650</v>
      </c>
      <c r="L25" s="55"/>
      <c r="M25" s="55"/>
      <c r="N25" s="55" t="n">
        <v>58.5</v>
      </c>
      <c r="O25" s="55"/>
      <c r="P25" s="56"/>
      <c r="Q25" s="57" t="n">
        <f aca="false">B25+D25+F25+H25+J25+L25</f>
        <v>41</v>
      </c>
      <c r="R25" s="68" t="n">
        <f aca="false">C25+E25+G25+I25+K25+M25</f>
        <v>277200</v>
      </c>
      <c r="S25" s="69" t="s">
        <v>26</v>
      </c>
      <c r="T25" s="70"/>
      <c r="U25" s="71" t="n">
        <v>52850</v>
      </c>
      <c r="V25" s="72"/>
      <c r="W25" s="73"/>
      <c r="X25" s="75"/>
      <c r="Y25" s="49"/>
      <c r="Z25" s="49"/>
      <c r="AA25" s="65"/>
    </row>
    <row r="26" s="51" customFormat="true" ht="60" hidden="false" customHeight="true" outlineLevel="0" collapsed="false">
      <c r="A26" s="53" t="n">
        <v>46101</v>
      </c>
      <c r="B26" s="76" t="n">
        <v>3</v>
      </c>
      <c r="C26" s="67" t="n">
        <v>19300</v>
      </c>
      <c r="D26" s="67" t="n">
        <v>3</v>
      </c>
      <c r="E26" s="55" t="n">
        <v>17650</v>
      </c>
      <c r="F26" s="67"/>
      <c r="G26" s="67"/>
      <c r="H26" s="67" t="n">
        <v>72.5</v>
      </c>
      <c r="I26" s="55" t="n">
        <v>375250</v>
      </c>
      <c r="J26" s="55" t="n">
        <v>3</v>
      </c>
      <c r="K26" s="55" t="n">
        <v>15650</v>
      </c>
      <c r="L26" s="55"/>
      <c r="M26" s="55"/>
      <c r="N26" s="55" t="n">
        <v>81</v>
      </c>
      <c r="O26" s="55" t="n">
        <v>1</v>
      </c>
      <c r="P26" s="56" t="n">
        <v>4450</v>
      </c>
      <c r="Q26" s="57" t="n">
        <f aca="false">B26+D26+F26+H26+J26+L26</f>
        <v>81.5</v>
      </c>
      <c r="R26" s="68" t="n">
        <f aca="false">C26+E26+G26+I26+K26+M26</f>
        <v>427850</v>
      </c>
      <c r="S26" s="69" t="s">
        <v>28</v>
      </c>
      <c r="T26" s="70"/>
      <c r="U26" s="71" t="n">
        <v>24550</v>
      </c>
      <c r="V26" s="72"/>
      <c r="W26" s="73"/>
      <c r="X26" s="75" t="s">
        <v>35</v>
      </c>
      <c r="Y26" s="49"/>
      <c r="Z26" s="49"/>
      <c r="AA26" s="65"/>
    </row>
    <row r="27" s="51" customFormat="true" ht="60" hidden="false" customHeight="true" outlineLevel="0" collapsed="false">
      <c r="A27" s="53" t="n">
        <v>46102</v>
      </c>
      <c r="B27" s="76" t="n">
        <v>5.5</v>
      </c>
      <c r="C27" s="67" t="n">
        <v>36650</v>
      </c>
      <c r="D27" s="67" t="n">
        <v>5.5</v>
      </c>
      <c r="E27" s="55" t="n">
        <v>23950</v>
      </c>
      <c r="F27" s="67"/>
      <c r="G27" s="67"/>
      <c r="H27" s="67" t="n">
        <v>37.5</v>
      </c>
      <c r="I27" s="55" t="n">
        <v>271250</v>
      </c>
      <c r="J27" s="55" t="n">
        <v>4</v>
      </c>
      <c r="K27" s="55" t="n">
        <v>14500</v>
      </c>
      <c r="L27" s="55"/>
      <c r="M27" s="55"/>
      <c r="N27" s="55" t="n">
        <v>62.5</v>
      </c>
      <c r="O27" s="55"/>
      <c r="P27" s="56"/>
      <c r="Q27" s="57" t="n">
        <f aca="false">B27+D27+F27+H27+J27+L27</f>
        <v>52.5</v>
      </c>
      <c r="R27" s="68" t="n">
        <f aca="false">C27+E27+G27+I27+K27+M27</f>
        <v>346350</v>
      </c>
      <c r="S27" s="69" t="s">
        <v>26</v>
      </c>
      <c r="T27" s="70"/>
      <c r="U27" s="71" t="n">
        <v>43450</v>
      </c>
      <c r="V27" s="72"/>
      <c r="W27" s="73"/>
      <c r="X27" s="75"/>
      <c r="Y27" s="49"/>
      <c r="Z27" s="49"/>
      <c r="AA27" s="65"/>
    </row>
    <row r="28" s="51" customFormat="true" ht="60" hidden="false" customHeight="true" outlineLevel="0" collapsed="false">
      <c r="A28" s="53" t="n">
        <v>46103</v>
      </c>
      <c r="B28" s="76" t="n">
        <v>9.5</v>
      </c>
      <c r="C28" s="67" t="n">
        <v>63500</v>
      </c>
      <c r="D28" s="67" t="n">
        <v>3.5</v>
      </c>
      <c r="E28" s="55" t="n">
        <v>14150</v>
      </c>
      <c r="F28" s="67"/>
      <c r="G28" s="67"/>
      <c r="H28" s="67" t="n">
        <v>58</v>
      </c>
      <c r="I28" s="55" t="n">
        <v>312650</v>
      </c>
      <c r="J28" s="55" t="n">
        <v>3.5</v>
      </c>
      <c r="K28" s="55" t="n">
        <v>24450</v>
      </c>
      <c r="L28" s="55"/>
      <c r="M28" s="55"/>
      <c r="N28" s="55" t="n">
        <v>109</v>
      </c>
      <c r="O28" s="55" t="n">
        <v>1</v>
      </c>
      <c r="P28" s="56" t="n">
        <v>7300</v>
      </c>
      <c r="Q28" s="57" t="n">
        <f aca="false">B28+D28+F28+H28+J28+L28</f>
        <v>74.5</v>
      </c>
      <c r="R28" s="68" t="n">
        <f aca="false">C28+E28+G28+I28+K28+M28</f>
        <v>414750</v>
      </c>
      <c r="S28" s="69" t="s">
        <v>28</v>
      </c>
      <c r="T28" s="70"/>
      <c r="U28" s="71" t="n">
        <v>79350</v>
      </c>
      <c r="V28" s="72"/>
      <c r="W28" s="73"/>
      <c r="X28" s="74"/>
      <c r="Y28" s="49"/>
      <c r="Z28" s="49"/>
      <c r="AA28" s="65"/>
    </row>
    <row r="29" s="51" customFormat="true" ht="60" hidden="false" customHeight="true" outlineLevel="0" collapsed="false">
      <c r="A29" s="53" t="n">
        <v>46104</v>
      </c>
      <c r="B29" s="76" t="n">
        <v>11</v>
      </c>
      <c r="C29" s="67" t="n">
        <v>109350</v>
      </c>
      <c r="D29" s="67" t="n">
        <v>3</v>
      </c>
      <c r="E29" s="55" t="n">
        <v>22150</v>
      </c>
      <c r="F29" s="67"/>
      <c r="G29" s="67"/>
      <c r="H29" s="67" t="n">
        <v>51.5</v>
      </c>
      <c r="I29" s="55" t="n">
        <v>276300</v>
      </c>
      <c r="J29" s="55" t="n">
        <v>1</v>
      </c>
      <c r="K29" s="55" t="n">
        <v>1300</v>
      </c>
      <c r="L29" s="55"/>
      <c r="M29" s="55"/>
      <c r="N29" s="55" t="n">
        <v>86.5</v>
      </c>
      <c r="O29" s="55" t="n">
        <v>3</v>
      </c>
      <c r="P29" s="56" t="n">
        <v>18850</v>
      </c>
      <c r="Q29" s="57" t="n">
        <f aca="false">B29+D29+F29+H29+J29+L29</f>
        <v>66.5</v>
      </c>
      <c r="R29" s="68" t="n">
        <f aca="false">C29+E29+G29+I29+K29+M29</f>
        <v>409100</v>
      </c>
      <c r="S29" s="69" t="s">
        <v>33</v>
      </c>
      <c r="T29" s="70"/>
      <c r="U29" s="71" t="n">
        <v>108050</v>
      </c>
      <c r="V29" s="72"/>
      <c r="W29" s="73"/>
      <c r="X29" s="74"/>
      <c r="Y29" s="49"/>
      <c r="Z29" s="49"/>
      <c r="AA29" s="65"/>
    </row>
    <row r="30" s="51" customFormat="true" ht="60" hidden="false" customHeight="true" outlineLevel="0" collapsed="false">
      <c r="A30" s="53" t="n">
        <v>46105</v>
      </c>
      <c r="B30" s="76" t="n">
        <v>9</v>
      </c>
      <c r="C30" s="67" t="n">
        <v>47950</v>
      </c>
      <c r="D30" s="67" t="n">
        <v>1.5</v>
      </c>
      <c r="E30" s="55" t="n">
        <v>24600</v>
      </c>
      <c r="F30" s="67"/>
      <c r="G30" s="67"/>
      <c r="H30" s="67" t="n">
        <v>33.5</v>
      </c>
      <c r="I30" s="55" t="n">
        <v>197800</v>
      </c>
      <c r="J30" s="55" t="n">
        <v>2.5</v>
      </c>
      <c r="K30" s="55" t="n">
        <v>15450</v>
      </c>
      <c r="L30" s="55"/>
      <c r="M30" s="55"/>
      <c r="N30" s="55" t="n">
        <v>61.5</v>
      </c>
      <c r="O30" s="55"/>
      <c r="P30" s="56"/>
      <c r="Q30" s="57" t="n">
        <f aca="false">B30+D30+F30+H30+J30+L30</f>
        <v>46.5</v>
      </c>
      <c r="R30" s="68" t="n">
        <f aca="false">C30+E30+G30+I30+K30+M30</f>
        <v>285800</v>
      </c>
      <c r="S30" s="69" t="s">
        <v>26</v>
      </c>
      <c r="T30" s="70"/>
      <c r="U30" s="71" t="n">
        <v>45300</v>
      </c>
      <c r="V30" s="72"/>
      <c r="W30" s="73"/>
      <c r="X30" s="75"/>
      <c r="Y30" s="49"/>
      <c r="Z30" s="49"/>
      <c r="AA30" s="65"/>
    </row>
    <row r="31" s="51" customFormat="true" ht="60" hidden="false" customHeight="true" outlineLevel="0" collapsed="false">
      <c r="A31" s="53" t="n">
        <v>46106</v>
      </c>
      <c r="B31" s="76" t="n">
        <v>12.5</v>
      </c>
      <c r="C31" s="67" t="n">
        <v>71900</v>
      </c>
      <c r="D31" s="67" t="n">
        <v>2.5</v>
      </c>
      <c r="E31" s="55" t="n">
        <v>14600</v>
      </c>
      <c r="F31" s="67"/>
      <c r="G31" s="67"/>
      <c r="H31" s="67" t="n">
        <v>34.5</v>
      </c>
      <c r="I31" s="55" t="n">
        <v>326050</v>
      </c>
      <c r="J31" s="55" t="n">
        <v>2.5</v>
      </c>
      <c r="K31" s="55" t="n">
        <v>47700</v>
      </c>
      <c r="L31" s="55"/>
      <c r="M31" s="55"/>
      <c r="N31" s="55" t="n">
        <v>84.5</v>
      </c>
      <c r="O31" s="55" t="n">
        <v>1</v>
      </c>
      <c r="P31" s="56" t="n">
        <v>5900</v>
      </c>
      <c r="Q31" s="57" t="n">
        <f aca="false">B31+D31+F31+H31+J31+L31</f>
        <v>52</v>
      </c>
      <c r="R31" s="68" t="n">
        <f aca="false">C31+E31+G31+I31+K31+M31</f>
        <v>460250</v>
      </c>
      <c r="S31" s="69" t="s">
        <v>28</v>
      </c>
      <c r="T31" s="70"/>
      <c r="U31" s="71" t="n">
        <v>94200</v>
      </c>
      <c r="V31" s="72"/>
      <c r="W31" s="73"/>
      <c r="X31" s="75"/>
      <c r="Y31" s="49"/>
      <c r="Z31" s="49"/>
      <c r="AA31" s="65"/>
    </row>
    <row r="32" s="51" customFormat="true" ht="60" hidden="false" customHeight="true" outlineLevel="0" collapsed="false">
      <c r="A32" s="53" t="n">
        <v>46107</v>
      </c>
      <c r="B32" s="76" t="n">
        <v>8.5</v>
      </c>
      <c r="C32" s="67" t="n">
        <v>58600</v>
      </c>
      <c r="D32" s="67" t="n">
        <v>3</v>
      </c>
      <c r="E32" s="55" t="n">
        <v>20850</v>
      </c>
      <c r="F32" s="67"/>
      <c r="G32" s="67"/>
      <c r="H32" s="67" t="n">
        <v>41</v>
      </c>
      <c r="I32" s="55" t="n">
        <v>221400</v>
      </c>
      <c r="J32" s="55" t="n">
        <v>3.5</v>
      </c>
      <c r="K32" s="55" t="n">
        <v>25350</v>
      </c>
      <c r="L32" s="55"/>
      <c r="M32" s="55"/>
      <c r="N32" s="55" t="n">
        <v>71.5</v>
      </c>
      <c r="O32" s="55"/>
      <c r="P32" s="56"/>
      <c r="Q32" s="57" t="n">
        <f aca="false">B32+D32+F32+H32+J32+L32</f>
        <v>56</v>
      </c>
      <c r="R32" s="68" t="n">
        <f aca="false">C32+E32+G32+I32+K32+M32</f>
        <v>326200</v>
      </c>
      <c r="S32" s="69" t="s">
        <v>28</v>
      </c>
      <c r="T32" s="70"/>
      <c r="U32" s="71" t="n">
        <v>49850</v>
      </c>
      <c r="V32" s="72"/>
      <c r="W32" s="73"/>
      <c r="X32" s="75"/>
      <c r="Y32" s="49"/>
      <c r="Z32" s="49"/>
      <c r="AA32" s="65"/>
    </row>
    <row r="33" s="51" customFormat="true" ht="60" hidden="false" customHeight="true" outlineLevel="0" collapsed="false">
      <c r="A33" s="53" t="n">
        <v>46108</v>
      </c>
      <c r="B33" s="76" t="n">
        <v>11</v>
      </c>
      <c r="C33" s="67" t="n">
        <v>83650</v>
      </c>
      <c r="D33" s="67" t="n">
        <v>4.5</v>
      </c>
      <c r="E33" s="55" t="n">
        <v>34400</v>
      </c>
      <c r="F33" s="67"/>
      <c r="G33" s="67"/>
      <c r="H33" s="67" t="n">
        <v>40.5</v>
      </c>
      <c r="I33" s="55" t="n">
        <v>236800</v>
      </c>
      <c r="J33" s="55" t="n">
        <v>7.5</v>
      </c>
      <c r="K33" s="55" t="n">
        <v>33200</v>
      </c>
      <c r="L33" s="55"/>
      <c r="M33" s="55"/>
      <c r="N33" s="55" t="n">
        <v>68.5</v>
      </c>
      <c r="O33" s="55" t="n">
        <v>1</v>
      </c>
      <c r="P33" s="56" t="n">
        <v>6200</v>
      </c>
      <c r="Q33" s="57" t="n">
        <f aca="false">B33+D33+F33+H33+J33+L33</f>
        <v>63.5</v>
      </c>
      <c r="R33" s="68" t="n">
        <f aca="false">C33+E33+G33+I33+K33+M33</f>
        <v>388050</v>
      </c>
      <c r="S33" s="69" t="s">
        <v>36</v>
      </c>
      <c r="T33" s="70"/>
      <c r="U33" s="71" t="n">
        <v>71100</v>
      </c>
      <c r="V33" s="72"/>
      <c r="W33" s="73"/>
      <c r="X33" s="75"/>
      <c r="Y33" s="49"/>
      <c r="Z33" s="49"/>
      <c r="AA33" s="65"/>
    </row>
    <row r="34" s="51" customFormat="true" ht="60" hidden="false" customHeight="true" outlineLevel="0" collapsed="false">
      <c r="A34" s="53" t="n">
        <v>46109</v>
      </c>
      <c r="B34" s="76" t="n">
        <v>9.5</v>
      </c>
      <c r="C34" s="67" t="n">
        <v>117500</v>
      </c>
      <c r="D34" s="67" t="n">
        <v>6.5</v>
      </c>
      <c r="E34" s="55" t="n">
        <v>43350</v>
      </c>
      <c r="F34" s="67"/>
      <c r="G34" s="67"/>
      <c r="H34" s="67" t="n">
        <v>59.5</v>
      </c>
      <c r="I34" s="55" t="n">
        <v>268500</v>
      </c>
      <c r="J34" s="55" t="n">
        <v>4</v>
      </c>
      <c r="K34" s="55" t="n">
        <v>37650</v>
      </c>
      <c r="L34" s="55" t="n">
        <v>0.5</v>
      </c>
      <c r="M34" s="55" t="n">
        <v>4050</v>
      </c>
      <c r="N34" s="55" t="n">
        <v>117.5</v>
      </c>
      <c r="O34" s="55" t="n">
        <v>1</v>
      </c>
      <c r="P34" s="56" t="n">
        <v>2850</v>
      </c>
      <c r="Q34" s="57" t="n">
        <f aca="false">B34+D34+F34+H34+J34+L34</f>
        <v>80</v>
      </c>
      <c r="R34" s="68" t="n">
        <f aca="false">C34+E34+G34+I34+K34+M34</f>
        <v>471050</v>
      </c>
      <c r="S34" s="69" t="s">
        <v>26</v>
      </c>
      <c r="T34" s="70"/>
      <c r="U34" s="71" t="n">
        <v>98150</v>
      </c>
      <c r="V34" s="72"/>
      <c r="W34" s="73"/>
      <c r="X34" s="74"/>
      <c r="Y34" s="49"/>
      <c r="Z34" s="49"/>
      <c r="AA34" s="65"/>
    </row>
    <row r="35" s="51" customFormat="true" ht="60" hidden="false" customHeight="true" outlineLevel="0" collapsed="false">
      <c r="A35" s="53" t="n">
        <v>46110</v>
      </c>
      <c r="B35" s="76" t="n">
        <v>4.5</v>
      </c>
      <c r="C35" s="67" t="n">
        <v>37000</v>
      </c>
      <c r="D35" s="67" t="n">
        <v>11</v>
      </c>
      <c r="E35" s="55" t="n">
        <v>60750</v>
      </c>
      <c r="F35" s="67"/>
      <c r="G35" s="67"/>
      <c r="H35" s="67" t="n">
        <v>25.5</v>
      </c>
      <c r="I35" s="55" t="n">
        <v>174850</v>
      </c>
      <c r="J35" s="55" t="n">
        <v>6</v>
      </c>
      <c r="K35" s="55" t="n">
        <v>48000</v>
      </c>
      <c r="L35" s="55"/>
      <c r="M35" s="55"/>
      <c r="N35" s="55" t="n">
        <v>57</v>
      </c>
      <c r="O35" s="55"/>
      <c r="P35" s="56"/>
      <c r="Q35" s="57" t="n">
        <f aca="false">B35+D35+F35+H35+J35+L35</f>
        <v>47</v>
      </c>
      <c r="R35" s="68" t="n">
        <f aca="false">C35+E35+G35+I35+K35+M35</f>
        <v>320600</v>
      </c>
      <c r="S35" s="69" t="s">
        <v>28</v>
      </c>
      <c r="T35" s="70"/>
      <c r="U35" s="71" t="n">
        <v>33150</v>
      </c>
      <c r="V35" s="72"/>
      <c r="W35" s="73"/>
      <c r="X35" s="75"/>
      <c r="Y35" s="49"/>
      <c r="Z35" s="49"/>
      <c r="AA35" s="65"/>
    </row>
    <row r="36" s="51" customFormat="true" ht="60" hidden="false" customHeight="true" outlineLevel="0" collapsed="false">
      <c r="A36" s="53" t="n">
        <v>46111</v>
      </c>
      <c r="B36" s="76" t="n">
        <v>8</v>
      </c>
      <c r="C36" s="67" t="n">
        <v>26800</v>
      </c>
      <c r="D36" s="67" t="n">
        <v>2</v>
      </c>
      <c r="E36" s="55" t="n">
        <v>10100</v>
      </c>
      <c r="F36" s="67"/>
      <c r="G36" s="67"/>
      <c r="H36" s="67" t="n">
        <v>47.5</v>
      </c>
      <c r="I36" s="55" t="n">
        <v>235000</v>
      </c>
      <c r="J36" s="55"/>
      <c r="K36" s="55"/>
      <c r="L36" s="55"/>
      <c r="M36" s="55"/>
      <c r="N36" s="55" t="n">
        <v>92</v>
      </c>
      <c r="O36" s="55" t="n">
        <v>1</v>
      </c>
      <c r="P36" s="56" t="n">
        <v>10050</v>
      </c>
      <c r="Q36" s="57" t="n">
        <f aca="false">B36+D36+F36+H36+J36+L36</f>
        <v>57.5</v>
      </c>
      <c r="R36" s="68" t="n">
        <f aca="false">C36+E36+G36+I36+K36+M36</f>
        <v>271900</v>
      </c>
      <c r="S36" s="69" t="s">
        <v>26</v>
      </c>
      <c r="T36" s="70"/>
      <c r="U36" s="71" t="n">
        <v>27300</v>
      </c>
      <c r="V36" s="72"/>
      <c r="W36" s="73"/>
      <c r="X36" s="75" t="s">
        <v>37</v>
      </c>
      <c r="Y36" s="49"/>
      <c r="Z36" s="49"/>
      <c r="AA36" s="65"/>
    </row>
    <row r="37" s="51" customFormat="true" ht="60" hidden="false" customHeight="true" outlineLevel="0" collapsed="false">
      <c r="A37" s="53" t="n">
        <v>46112</v>
      </c>
      <c r="B37" s="76" t="n">
        <v>9.5</v>
      </c>
      <c r="C37" s="67" t="n">
        <v>47750</v>
      </c>
      <c r="D37" s="67" t="n">
        <v>1</v>
      </c>
      <c r="E37" s="55" t="n">
        <v>7500</v>
      </c>
      <c r="F37" s="67"/>
      <c r="G37" s="67"/>
      <c r="H37" s="67" t="n">
        <v>71.5</v>
      </c>
      <c r="I37" s="55" t="n">
        <v>604350</v>
      </c>
      <c r="J37" s="55" t="n">
        <v>1.5</v>
      </c>
      <c r="K37" s="55" t="n">
        <v>8900</v>
      </c>
      <c r="L37" s="55"/>
      <c r="M37" s="55"/>
      <c r="N37" s="55" t="n">
        <v>114</v>
      </c>
      <c r="O37" s="55" t="n">
        <v>5.5</v>
      </c>
      <c r="P37" s="56" t="n">
        <v>48150</v>
      </c>
      <c r="Q37" s="57" t="n">
        <f aca="false">B37+D37+F37+H37+J37+L37</f>
        <v>83.5</v>
      </c>
      <c r="R37" s="68" t="n">
        <f aca="false">C37+E37+G37+I37+K37+M37</f>
        <v>668500</v>
      </c>
      <c r="S37" s="69" t="s">
        <v>28</v>
      </c>
      <c r="T37" s="70"/>
      <c r="U37" s="71" t="n">
        <v>61650</v>
      </c>
      <c r="V37" s="72"/>
      <c r="W37" s="73"/>
      <c r="X37" s="75" t="s">
        <v>38</v>
      </c>
      <c r="Y37" s="49"/>
      <c r="Z37" s="49"/>
      <c r="AA37" s="65"/>
    </row>
    <row r="38" s="84" customFormat="true" ht="96.75" hidden="false" customHeight="true" outlineLevel="0" collapsed="false">
      <c r="A38" s="78"/>
      <c r="B38" s="79" t="n">
        <f aca="false">SUM(B7:B37)</f>
        <v>238</v>
      </c>
      <c r="C38" s="79" t="n">
        <f aca="false">SUM(C7:C37)</f>
        <v>1480950</v>
      </c>
      <c r="D38" s="79" t="n">
        <f aca="false">SUM(D7:D37)</f>
        <v>110.5</v>
      </c>
      <c r="E38" s="79" t="n">
        <f aca="false">SUM(E7:E37)</f>
        <v>655550</v>
      </c>
      <c r="F38" s="79" t="n">
        <f aca="false">SUM(F7:F37)</f>
        <v>1</v>
      </c>
      <c r="G38" s="79" t="n">
        <f aca="false">SUM(G7:G37)</f>
        <v>7600</v>
      </c>
      <c r="H38" s="79" t="n">
        <f aca="false">SUM(H7:H37)</f>
        <v>1283</v>
      </c>
      <c r="I38" s="79" t="n">
        <f aca="false">SUM(I7:I37)</f>
        <v>8622700</v>
      </c>
      <c r="J38" s="79" t="n">
        <f aca="false">SUM(J7:J37)</f>
        <v>104</v>
      </c>
      <c r="K38" s="79" t="n">
        <f aca="false">SUM(K7:K37)</f>
        <v>713550</v>
      </c>
      <c r="L38" s="79" t="n">
        <f aca="false">SUM(L7:L37)</f>
        <v>3.5</v>
      </c>
      <c r="M38" s="79" t="n">
        <f aca="false">SUM(M7:M37)</f>
        <v>10350</v>
      </c>
      <c r="N38" s="79" t="n">
        <f aca="false">SUM(N7:N37)</f>
        <v>2284</v>
      </c>
      <c r="O38" s="79" t="n">
        <f aca="false">SUM(O7:O37)</f>
        <v>84</v>
      </c>
      <c r="P38" s="79" t="n">
        <f aca="false">SUM(P7:P37)</f>
        <v>680950</v>
      </c>
      <c r="Q38" s="79" t="n">
        <f aca="false">SUM(Q7:Q37)</f>
        <v>1740</v>
      </c>
      <c r="R38" s="79" t="n">
        <f aca="false">SUM(R7:R37)</f>
        <v>11490700</v>
      </c>
      <c r="S38" s="79" t="n">
        <f aca="false">SUM(S7:S37)</f>
        <v>0</v>
      </c>
      <c r="T38" s="79" t="n">
        <f aca="false">SUM(T7:T37)</f>
        <v>0</v>
      </c>
      <c r="U38" s="79" t="n">
        <f aca="false">SUM(U7:U37)</f>
        <v>1546100</v>
      </c>
      <c r="V38" s="79" t="n">
        <f aca="false">SUM(V7:V37)</f>
        <v>0</v>
      </c>
      <c r="W38" s="79" t="n">
        <f aca="false">SUM(W7:W37)</f>
        <v>0</v>
      </c>
      <c r="X38" s="80" t="n">
        <f aca="false">SUM(X7:X37)</f>
        <v>0</v>
      </c>
      <c r="Y38" s="81" t="s">
        <v>39</v>
      </c>
      <c r="Z38" s="82"/>
      <c r="AA38" s="83"/>
    </row>
    <row r="39" s="96" customFormat="true" ht="109.5" hidden="false" customHeight="true" outlineLevel="0" collapsed="false">
      <c r="A39" s="85"/>
      <c r="B39" s="86"/>
      <c r="C39" s="86"/>
      <c r="D39" s="86"/>
      <c r="E39" s="86"/>
      <c r="F39" s="86"/>
      <c r="G39" s="86"/>
      <c r="H39" s="87" t="s">
        <v>40</v>
      </c>
      <c r="I39" s="86"/>
      <c r="J39" s="86"/>
      <c r="K39" s="86"/>
      <c r="L39" s="86"/>
      <c r="M39" s="86"/>
      <c r="N39" s="86"/>
      <c r="O39" s="86"/>
      <c r="P39" s="87" t="s">
        <v>40</v>
      </c>
      <c r="Q39" s="88" t="n">
        <f aca="false">SUM(Q7:Q38)</f>
        <v>3480</v>
      </c>
      <c r="R39" s="89" t="n">
        <f aca="false">SUM(R7:R38)</f>
        <v>22981400</v>
      </c>
      <c r="S39" s="90"/>
      <c r="T39" s="91"/>
      <c r="U39" s="92" t="n">
        <f aca="false">U38+V38</f>
        <v>1546100</v>
      </c>
      <c r="V39" s="92"/>
      <c r="W39" s="93"/>
      <c r="X39" s="94"/>
      <c r="Y39" s="95" t="n">
        <f aca="false">C38-U38-V38</f>
        <v>-65150</v>
      </c>
      <c r="Z39" s="49"/>
      <c r="AA39" s="65"/>
    </row>
    <row r="40" s="51" customFormat="true" ht="30.75" hidden="false" customHeight="true" outlineLevel="0" collapsed="false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49"/>
      <c r="Z40" s="49"/>
      <c r="AA40" s="3"/>
    </row>
    <row r="41" s="51" customFormat="true" ht="60" hidden="false" customHeight="true" outlineLevel="0" collapsed="false">
      <c r="A41" s="97"/>
      <c r="B41" s="97"/>
      <c r="C41" s="98"/>
      <c r="D41" s="98" t="s">
        <v>41</v>
      </c>
      <c r="E41" s="98"/>
      <c r="F41" s="98"/>
      <c r="G41" s="98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9" t="n">
        <f aca="false">R38-R39</f>
        <v>-11490700</v>
      </c>
      <c r="S41" s="97"/>
      <c r="T41" s="97"/>
      <c r="U41" s="97"/>
      <c r="V41" s="97"/>
      <c r="W41" s="97"/>
      <c r="X41" s="97"/>
      <c r="Y41" s="49"/>
      <c r="Z41" s="49"/>
      <c r="AA41" s="3"/>
    </row>
  </sheetData>
  <mergeCells count="15">
    <mergeCell ref="C2:V2"/>
    <mergeCell ref="H3:S3"/>
    <mergeCell ref="U3:X3"/>
    <mergeCell ref="A4:A5"/>
    <mergeCell ref="B4:C4"/>
    <mergeCell ref="D4:E4"/>
    <mergeCell ref="F4:G4"/>
    <mergeCell ref="H4:I4"/>
    <mergeCell ref="J4:K4"/>
    <mergeCell ref="L4:M4"/>
    <mergeCell ref="N4:N5"/>
    <mergeCell ref="O4:P4"/>
    <mergeCell ref="Q4:R4"/>
    <mergeCell ref="AC6:AC7"/>
    <mergeCell ref="U39:V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D245"/>
  <sheetViews>
    <sheetView showFormulas="false" showGridLines="true" showRowColHeaders="true" showZeros="true" rightToLeft="false" tabSelected="true" showOutlineSymbols="true" defaultGridColor="true" view="normal" topLeftCell="A1" colorId="64" zoomScale="41" zoomScaleNormal="41" zoomScalePageLayoutView="27" workbookViewId="0">
      <pane xSplit="1" ySplit="5" topLeftCell="P28" activePane="bottomRight" state="frozen"/>
      <selection pane="topLeft" activeCell="A1" activeCellId="0" sqref="A1"/>
      <selection pane="topRight" activeCell="P1" activeCellId="0" sqref="P1"/>
      <selection pane="bottomLeft" activeCell="A28" activeCellId="0" sqref="A28"/>
      <selection pane="bottomRight" activeCell="X34" activeCellId="0" sqref="X34"/>
    </sheetView>
  </sheetViews>
  <sheetFormatPr defaultColWidth="8.71484375" defaultRowHeight="24" zeroHeight="false" outlineLevelRow="0" outlineLevelCol="0"/>
  <cols>
    <col collapsed="false" customWidth="true" hidden="false" outlineLevel="0" max="2" min="1" style="1" width="51.86"/>
    <col collapsed="false" customWidth="true" hidden="false" outlineLevel="0" max="3" min="3" style="1" width="41.43"/>
    <col collapsed="false" customWidth="true" hidden="false" outlineLevel="0" max="9" min="4" style="1" width="39.86"/>
    <col collapsed="false" customWidth="true" hidden="false" outlineLevel="0" max="11" min="10" style="1" width="38.43"/>
    <col collapsed="false" customWidth="true" hidden="false" outlineLevel="0" max="13" min="12" style="1" width="33.86"/>
    <col collapsed="false" customWidth="true" hidden="false" outlineLevel="0" max="14" min="14" style="1" width="42"/>
    <col collapsed="false" customWidth="true" hidden="false" outlineLevel="0" max="15" min="15" style="1" width="76.43"/>
    <col collapsed="false" customWidth="true" hidden="false" outlineLevel="0" max="17" min="16" style="1" width="40.14"/>
    <col collapsed="false" customWidth="true" hidden="false" outlineLevel="0" max="18" min="18" style="1" width="50.57"/>
    <col collapsed="false" customWidth="true" hidden="false" outlineLevel="0" max="19" min="19" style="1" width="39.86"/>
    <col collapsed="false" customWidth="true" hidden="false" outlineLevel="0" max="20" min="20" style="1" width="7.86"/>
    <col collapsed="false" customWidth="true" hidden="false" outlineLevel="0" max="21" min="21" style="100" width="47.43"/>
    <col collapsed="false" customWidth="true" hidden="false" outlineLevel="0" max="22" min="22" style="1" width="47.86"/>
    <col collapsed="false" customWidth="true" hidden="false" outlineLevel="0" max="23" min="23" style="1" width="62.43"/>
    <col collapsed="false" customWidth="true" hidden="false" outlineLevel="0" max="24" min="24" style="1" width="123.43"/>
    <col collapsed="false" customWidth="true" hidden="false" outlineLevel="0" max="25" min="25" style="2" width="27.86"/>
    <col collapsed="false" customWidth="true" hidden="false" outlineLevel="0" max="26" min="26" style="2" width="9.14"/>
    <col collapsed="false" customWidth="true" hidden="false" outlineLevel="0" max="27" min="27" style="3" width="37"/>
    <col collapsed="false" customWidth="false" hidden="false" outlineLevel="0" max="28" min="28" style="4" width="8.71"/>
    <col collapsed="false" customWidth="true" hidden="false" outlineLevel="0" max="29" min="29" style="4" width="109.43"/>
    <col collapsed="false" customWidth="true" hidden="false" outlineLevel="0" max="30" min="30" style="4" width="19.86"/>
    <col collapsed="false" customWidth="false" hidden="false" outlineLevel="0" max="16384" min="31" style="4" width="8.71"/>
  </cols>
  <sheetData>
    <row r="2" s="11" customFormat="true" ht="105" hidden="false" customHeight="true" outlineLevel="0" collapsed="false">
      <c r="A2" s="5"/>
      <c r="B2" s="5"/>
      <c r="C2" s="6" t="s">
        <v>42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  <c r="X2" s="8"/>
      <c r="Y2" s="9"/>
      <c r="Z2" s="9"/>
      <c r="AA2" s="10"/>
    </row>
    <row r="3" s="11" customFormat="true" ht="62.25" hidden="false" customHeight="true" outlineLevel="0" collapsed="false">
      <c r="A3" s="5"/>
      <c r="B3" s="5"/>
      <c r="C3" s="12"/>
      <c r="D3" s="12"/>
      <c r="E3" s="12"/>
      <c r="F3" s="13"/>
      <c r="G3" s="13"/>
      <c r="H3" s="14" t="n">
        <v>46082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2"/>
      <c r="U3" s="15" t="s">
        <v>1</v>
      </c>
      <c r="V3" s="15"/>
      <c r="W3" s="15"/>
      <c r="X3" s="15"/>
      <c r="Y3" s="9"/>
      <c r="Z3" s="9"/>
      <c r="AA3" s="10"/>
    </row>
    <row r="4" s="29" customFormat="true" ht="93.75" hidden="false" customHeight="true" outlineLevel="0" collapsed="false">
      <c r="A4" s="16" t="s">
        <v>2</v>
      </c>
      <c r="B4" s="17" t="s">
        <v>3</v>
      </c>
      <c r="C4" s="17"/>
      <c r="D4" s="17" t="s">
        <v>4</v>
      </c>
      <c r="E4" s="17"/>
      <c r="F4" s="17" t="s">
        <v>5</v>
      </c>
      <c r="G4" s="17"/>
      <c r="H4" s="17" t="s">
        <v>6</v>
      </c>
      <c r="I4" s="17"/>
      <c r="J4" s="18" t="s">
        <v>7</v>
      </c>
      <c r="K4" s="18"/>
      <c r="L4" s="18" t="s">
        <v>8</v>
      </c>
      <c r="M4" s="18"/>
      <c r="N4" s="19" t="s">
        <v>9</v>
      </c>
      <c r="O4" s="20" t="s">
        <v>10</v>
      </c>
      <c r="P4" s="20"/>
      <c r="Q4" s="21" t="s">
        <v>11</v>
      </c>
      <c r="R4" s="21"/>
      <c r="S4" s="22" t="s">
        <v>12</v>
      </c>
      <c r="T4" s="17"/>
      <c r="U4" s="23" t="s">
        <v>43</v>
      </c>
      <c r="V4" s="24" t="s">
        <v>14</v>
      </c>
      <c r="W4" s="25" t="s">
        <v>15</v>
      </c>
      <c r="X4" s="26" t="s">
        <v>16</v>
      </c>
      <c r="Y4" s="27"/>
      <c r="Z4" s="27"/>
      <c r="AA4" s="28" t="s">
        <v>17</v>
      </c>
    </row>
    <row r="5" s="29" customFormat="true" ht="93.75" hidden="false" customHeight="true" outlineLevel="0" collapsed="false">
      <c r="A5" s="16"/>
      <c r="B5" s="30" t="s">
        <v>18</v>
      </c>
      <c r="C5" s="31" t="s">
        <v>19</v>
      </c>
      <c r="D5" s="30" t="s">
        <v>18</v>
      </c>
      <c r="E5" s="31" t="s">
        <v>19</v>
      </c>
      <c r="F5" s="30" t="s">
        <v>18</v>
      </c>
      <c r="G5" s="31" t="s">
        <v>19</v>
      </c>
      <c r="H5" s="30" t="s">
        <v>18</v>
      </c>
      <c r="I5" s="31" t="s">
        <v>19</v>
      </c>
      <c r="J5" s="30" t="s">
        <v>18</v>
      </c>
      <c r="K5" s="31" t="s">
        <v>19</v>
      </c>
      <c r="L5" s="30" t="s">
        <v>18</v>
      </c>
      <c r="M5" s="31" t="s">
        <v>19</v>
      </c>
      <c r="N5" s="19"/>
      <c r="O5" s="32" t="s">
        <v>20</v>
      </c>
      <c r="P5" s="33" t="s">
        <v>19</v>
      </c>
      <c r="Q5" s="34" t="s">
        <v>21</v>
      </c>
      <c r="R5" s="35" t="s">
        <v>22</v>
      </c>
      <c r="S5" s="30"/>
      <c r="T5" s="31"/>
      <c r="U5" s="36"/>
      <c r="V5" s="37"/>
      <c r="W5" s="38"/>
      <c r="X5" s="39"/>
      <c r="Y5" s="27"/>
      <c r="Z5" s="27"/>
      <c r="AA5" s="28"/>
    </row>
    <row r="6" s="51" customFormat="true" ht="51.75" hidden="false" customHeight="true" outlineLevel="0" collapsed="false">
      <c r="A6" s="40" t="s">
        <v>23</v>
      </c>
      <c r="B6" s="41"/>
      <c r="C6" s="42" t="n">
        <v>53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 t="s">
        <v>24</v>
      </c>
      <c r="Q6" s="44"/>
      <c r="R6" s="45"/>
      <c r="S6" s="46"/>
      <c r="T6" s="46"/>
      <c r="U6" s="43"/>
      <c r="V6" s="43"/>
      <c r="W6" s="47"/>
      <c r="X6" s="48"/>
      <c r="Y6" s="49"/>
      <c r="Z6" s="49"/>
      <c r="AA6" s="50" t="n">
        <f aca="false">C6</f>
        <v>53</v>
      </c>
      <c r="AC6" s="52" t="s">
        <v>25</v>
      </c>
    </row>
    <row r="7" s="51" customFormat="true" ht="60" hidden="false" customHeight="true" outlineLevel="0" collapsed="false">
      <c r="A7" s="53" t="n">
        <v>46082</v>
      </c>
      <c r="B7" s="54" t="n">
        <v>5.5</v>
      </c>
      <c r="C7" s="55" t="n">
        <v>33600</v>
      </c>
      <c r="D7" s="55" t="n">
        <v>5</v>
      </c>
      <c r="E7" s="55" t="n">
        <v>36750</v>
      </c>
      <c r="F7" s="55"/>
      <c r="G7" s="55"/>
      <c r="H7" s="55" t="n">
        <v>33.5</v>
      </c>
      <c r="I7" s="55" t="n">
        <v>226000</v>
      </c>
      <c r="J7" s="55" t="n">
        <v>2.5</v>
      </c>
      <c r="K7" s="55" t="n">
        <v>11500</v>
      </c>
      <c r="L7" s="55"/>
      <c r="M7" s="55"/>
      <c r="N7" s="55" t="n">
        <v>58.5</v>
      </c>
      <c r="O7" s="55" t="n">
        <v>1</v>
      </c>
      <c r="P7" s="56" t="n">
        <v>9600</v>
      </c>
      <c r="Q7" s="57" t="n">
        <f aca="false">SUM(B7,D7,F7,H7,J7,L7)</f>
        <v>46.5</v>
      </c>
      <c r="R7" s="57" t="n">
        <f aca="false">SUM(C7,E7,G7,I7,K7,M7)</f>
        <v>307850</v>
      </c>
      <c r="S7" s="59" t="s">
        <v>44</v>
      </c>
      <c r="T7" s="60"/>
      <c r="U7" s="61" t="n">
        <v>6200</v>
      </c>
      <c r="V7" s="62" t="n">
        <v>27500</v>
      </c>
      <c r="W7" s="63"/>
      <c r="X7" s="64"/>
      <c r="Y7" s="49"/>
      <c r="Z7" s="49"/>
      <c r="AA7" s="65" t="n">
        <f aca="false">AA6+C7-U7-V7</f>
        <v>-47</v>
      </c>
      <c r="AC7" s="52"/>
      <c r="AD7" s="66"/>
    </row>
    <row r="8" s="51" customFormat="true" ht="60" hidden="false" customHeight="true" outlineLevel="0" collapsed="false">
      <c r="A8" s="53" t="n">
        <v>46083</v>
      </c>
      <c r="B8" s="54" t="n">
        <v>6</v>
      </c>
      <c r="C8" s="67" t="n">
        <v>38200</v>
      </c>
      <c r="D8" s="67" t="n">
        <v>2.5</v>
      </c>
      <c r="E8" s="55" t="n">
        <v>16200</v>
      </c>
      <c r="F8" s="67"/>
      <c r="G8" s="67"/>
      <c r="H8" s="67" t="n">
        <v>13</v>
      </c>
      <c r="I8" s="55" t="n">
        <v>128800</v>
      </c>
      <c r="J8" s="55" t="n">
        <v>2</v>
      </c>
      <c r="K8" s="55" t="n">
        <v>7650</v>
      </c>
      <c r="L8" s="55"/>
      <c r="M8" s="55"/>
      <c r="N8" s="55" t="n">
        <v>37.5</v>
      </c>
      <c r="O8" s="55"/>
      <c r="P8" s="56"/>
      <c r="Q8" s="57" t="n">
        <f aca="false">SUM(B8,D8,F8,H8,J8,L8)</f>
        <v>23.5</v>
      </c>
      <c r="R8" s="57" t="n">
        <f aca="false">SUM(C8,E8,G8,I8,K8,M8)</f>
        <v>190850</v>
      </c>
      <c r="S8" s="69" t="s">
        <v>45</v>
      </c>
      <c r="T8" s="70"/>
      <c r="U8" s="71" t="n">
        <v>17400</v>
      </c>
      <c r="V8" s="72" t="n">
        <v>15450</v>
      </c>
      <c r="W8" s="73"/>
      <c r="X8" s="64"/>
      <c r="Y8" s="49"/>
      <c r="Z8" s="49"/>
      <c r="AA8" s="65" t="n">
        <f aca="false">AA7+C8-U8-V8</f>
        <v>5303</v>
      </c>
    </row>
    <row r="9" s="51" customFormat="true" ht="60" hidden="false" customHeight="true" outlineLevel="0" collapsed="false">
      <c r="A9" s="53" t="n">
        <v>46084</v>
      </c>
      <c r="B9" s="54" t="n">
        <v>9</v>
      </c>
      <c r="C9" s="67" t="n">
        <v>63350</v>
      </c>
      <c r="D9" s="67" t="n">
        <v>2.5</v>
      </c>
      <c r="E9" s="55" t="n">
        <v>14200</v>
      </c>
      <c r="F9" s="67"/>
      <c r="G9" s="67"/>
      <c r="H9" s="67" t="n">
        <v>44</v>
      </c>
      <c r="I9" s="55" t="n">
        <v>199650</v>
      </c>
      <c r="J9" s="55"/>
      <c r="K9" s="55"/>
      <c r="L9" s="55"/>
      <c r="M9" s="55"/>
      <c r="N9" s="55" t="n">
        <v>54</v>
      </c>
      <c r="O9" s="55" t="n">
        <v>2</v>
      </c>
      <c r="P9" s="56" t="n">
        <v>9850</v>
      </c>
      <c r="Q9" s="57" t="n">
        <f aca="false">SUM(B9,D9,F9,H9,J9,L9)</f>
        <v>55.5</v>
      </c>
      <c r="R9" s="57" t="n">
        <f aca="false">SUM(C9,E9,G9,I9,K9,M9)</f>
        <v>277200</v>
      </c>
      <c r="S9" s="69" t="s">
        <v>46</v>
      </c>
      <c r="T9" s="70"/>
      <c r="U9" s="71" t="n">
        <v>17250</v>
      </c>
      <c r="V9" s="72" t="n">
        <v>33850</v>
      </c>
      <c r="W9" s="73"/>
      <c r="X9" s="64"/>
      <c r="Y9" s="49"/>
      <c r="Z9" s="49"/>
      <c r="AA9" s="65" t="n">
        <f aca="false">AA8+C9-U9-V9</f>
        <v>17553</v>
      </c>
    </row>
    <row r="10" s="51" customFormat="true" ht="60" hidden="false" customHeight="true" outlineLevel="0" collapsed="false">
      <c r="A10" s="53" t="n">
        <v>46085</v>
      </c>
      <c r="B10" s="54" t="n">
        <v>7</v>
      </c>
      <c r="C10" s="67" t="n">
        <v>49400</v>
      </c>
      <c r="D10" s="67" t="n">
        <v>2</v>
      </c>
      <c r="E10" s="55" t="n">
        <v>13200</v>
      </c>
      <c r="F10" s="67"/>
      <c r="G10" s="67"/>
      <c r="H10" s="67" t="n">
        <v>18</v>
      </c>
      <c r="I10" s="55" t="n">
        <v>163850</v>
      </c>
      <c r="J10" s="55" t="n">
        <v>5</v>
      </c>
      <c r="K10" s="55" t="n">
        <v>22850</v>
      </c>
      <c r="L10" s="55"/>
      <c r="M10" s="55"/>
      <c r="N10" s="55" t="n">
        <v>64.5</v>
      </c>
      <c r="O10" s="55" t="n">
        <v>1</v>
      </c>
      <c r="P10" s="56" t="n">
        <v>11800</v>
      </c>
      <c r="Q10" s="57" t="n">
        <f aca="false">SUM(B10,D10,F10,H10,J10,L10)</f>
        <v>32</v>
      </c>
      <c r="R10" s="57" t="n">
        <f aca="false">SUM(C10,E10,G10,I10,K10,M10)</f>
        <v>249300</v>
      </c>
      <c r="S10" s="69" t="s">
        <v>47</v>
      </c>
      <c r="T10" s="70"/>
      <c r="U10" s="71" t="n">
        <v>44550</v>
      </c>
      <c r="V10" s="72"/>
      <c r="W10" s="73"/>
      <c r="X10" s="64"/>
      <c r="Y10" s="49"/>
      <c r="Z10" s="49"/>
      <c r="AA10" s="65" t="n">
        <f aca="false">AA9+C10-U10-V10</f>
        <v>22403</v>
      </c>
    </row>
    <row r="11" s="51" customFormat="true" ht="60" hidden="false" customHeight="true" outlineLevel="0" collapsed="false">
      <c r="A11" s="53" t="n">
        <v>46086</v>
      </c>
      <c r="B11" s="54" t="n">
        <v>5</v>
      </c>
      <c r="C11" s="67" t="n">
        <v>16000</v>
      </c>
      <c r="D11" s="67" t="n">
        <v>4.5</v>
      </c>
      <c r="E11" s="55" t="n">
        <v>35150</v>
      </c>
      <c r="F11" s="67"/>
      <c r="G11" s="67"/>
      <c r="H11" s="67" t="n">
        <v>18.5</v>
      </c>
      <c r="I11" s="55" t="n">
        <v>103350</v>
      </c>
      <c r="J11" s="55" t="n">
        <v>2</v>
      </c>
      <c r="K11" s="55" t="n">
        <v>15500</v>
      </c>
      <c r="L11" s="55"/>
      <c r="M11" s="55"/>
      <c r="N11" s="55" t="n">
        <v>44.5</v>
      </c>
      <c r="O11" s="55" t="n">
        <v>1</v>
      </c>
      <c r="P11" s="56" t="n">
        <v>4850</v>
      </c>
      <c r="Q11" s="57" t="n">
        <f aca="false">SUM(B11,D11,F11,H11,J11,L11)</f>
        <v>30</v>
      </c>
      <c r="R11" s="57" t="n">
        <f aca="false">SUM(C11,E11,G11,I11,K11,M11)</f>
        <v>170000</v>
      </c>
      <c r="S11" s="69" t="s">
        <v>44</v>
      </c>
      <c r="T11" s="70"/>
      <c r="U11" s="71" t="n">
        <v>8200</v>
      </c>
      <c r="V11" s="72" t="n">
        <v>8300</v>
      </c>
      <c r="W11" s="73"/>
      <c r="X11" s="64"/>
      <c r="Y11" s="49"/>
      <c r="Z11" s="49"/>
      <c r="AA11" s="65" t="n">
        <f aca="false">AA10+C11-U11-V11</f>
        <v>21903</v>
      </c>
    </row>
    <row r="12" s="51" customFormat="true" ht="60" hidden="false" customHeight="true" outlineLevel="0" collapsed="false">
      <c r="A12" s="53" t="n">
        <v>46087</v>
      </c>
      <c r="B12" s="54" t="n">
        <v>4</v>
      </c>
      <c r="C12" s="67" t="n">
        <v>29100</v>
      </c>
      <c r="D12" s="67" t="n">
        <v>4.5</v>
      </c>
      <c r="E12" s="55" t="n">
        <v>19650</v>
      </c>
      <c r="F12" s="67"/>
      <c r="G12" s="67"/>
      <c r="H12" s="67" t="n">
        <v>20.5</v>
      </c>
      <c r="I12" s="55" t="n">
        <v>174700</v>
      </c>
      <c r="J12" s="55" t="n">
        <v>1.5</v>
      </c>
      <c r="K12" s="55" t="n">
        <v>10750</v>
      </c>
      <c r="L12" s="55"/>
      <c r="M12" s="55"/>
      <c r="N12" s="55" t="n">
        <v>60</v>
      </c>
      <c r="O12" s="55" t="n">
        <v>3.5</v>
      </c>
      <c r="P12" s="56" t="n">
        <v>17350</v>
      </c>
      <c r="Q12" s="57" t="n">
        <f aca="false">SUM(B12,D12,F12,H12,J12,L12)</f>
        <v>30.5</v>
      </c>
      <c r="R12" s="57" t="n">
        <f aca="false">SUM(C12,E12,G12,I12,K12,M12)</f>
        <v>234200</v>
      </c>
      <c r="S12" s="69" t="s">
        <v>47</v>
      </c>
      <c r="T12" s="70"/>
      <c r="U12" s="71" t="n">
        <v>6650</v>
      </c>
      <c r="V12" s="72" t="n">
        <v>37600</v>
      </c>
      <c r="W12" s="73"/>
      <c r="X12" s="101"/>
      <c r="Y12" s="49"/>
      <c r="Z12" s="49"/>
      <c r="AA12" s="65" t="n">
        <f aca="false">AA11+C12-U12-V12</f>
        <v>6753</v>
      </c>
    </row>
    <row r="13" s="51" customFormat="true" ht="60" hidden="false" customHeight="true" outlineLevel="0" collapsed="false">
      <c r="A13" s="53" t="n">
        <v>46088</v>
      </c>
      <c r="B13" s="54" t="n">
        <v>9.5</v>
      </c>
      <c r="C13" s="67" t="n">
        <v>47950</v>
      </c>
      <c r="D13" s="67" t="n">
        <v>5</v>
      </c>
      <c r="E13" s="55" t="n">
        <v>22900</v>
      </c>
      <c r="F13" s="67"/>
      <c r="G13" s="67"/>
      <c r="H13" s="67" t="n">
        <v>37</v>
      </c>
      <c r="I13" s="55" t="n">
        <v>217850</v>
      </c>
      <c r="J13" s="55" t="n">
        <v>1</v>
      </c>
      <c r="K13" s="55" t="n">
        <v>12700</v>
      </c>
      <c r="L13" s="55"/>
      <c r="M13" s="55"/>
      <c r="N13" s="55" t="n">
        <v>63</v>
      </c>
      <c r="O13" s="55"/>
      <c r="P13" s="56"/>
      <c r="Q13" s="57" t="n">
        <f aca="false">SUM(B13,D13,F13,H13,J13,L13)</f>
        <v>52.5</v>
      </c>
      <c r="R13" s="57" t="n">
        <f aca="false">SUM(C13,E13,G13,I13,K13,M13)</f>
        <v>301400</v>
      </c>
      <c r="S13" s="69" t="s">
        <v>48</v>
      </c>
      <c r="T13" s="70"/>
      <c r="U13" s="71"/>
      <c r="V13" s="72" t="n">
        <v>52500</v>
      </c>
      <c r="W13" s="73"/>
      <c r="X13" s="101" t="s">
        <v>49</v>
      </c>
      <c r="Y13" s="49"/>
      <c r="Z13" s="49"/>
      <c r="AA13" s="65" t="n">
        <f aca="false">AA12+C13-U13-V13</f>
        <v>2203</v>
      </c>
    </row>
    <row r="14" s="51" customFormat="true" ht="60" hidden="false" customHeight="true" outlineLevel="0" collapsed="false">
      <c r="A14" s="53" t="n">
        <v>46089</v>
      </c>
      <c r="B14" s="54" t="n">
        <v>10</v>
      </c>
      <c r="C14" s="67" t="n">
        <v>97600</v>
      </c>
      <c r="D14" s="67" t="n">
        <v>3</v>
      </c>
      <c r="E14" s="55" t="n">
        <v>14350</v>
      </c>
      <c r="F14" s="67"/>
      <c r="G14" s="67"/>
      <c r="H14" s="67" t="n">
        <v>19.5</v>
      </c>
      <c r="I14" s="55" t="n">
        <v>147200</v>
      </c>
      <c r="J14" s="55"/>
      <c r="K14" s="55"/>
      <c r="L14" s="55"/>
      <c r="M14" s="55"/>
      <c r="N14" s="55" t="n">
        <v>47</v>
      </c>
      <c r="O14" s="55"/>
      <c r="P14" s="56"/>
      <c r="Q14" s="57" t="n">
        <f aca="false">SUM(B14,D14,F14,H14,J14,L14)</f>
        <v>32.5</v>
      </c>
      <c r="R14" s="57" t="n">
        <f aca="false">SUM(C14,E14,G14,I14,K14,M14)</f>
        <v>259150</v>
      </c>
      <c r="S14" s="69" t="s">
        <v>46</v>
      </c>
      <c r="T14" s="70"/>
      <c r="U14" s="71"/>
      <c r="V14" s="72" t="n">
        <v>64750</v>
      </c>
      <c r="W14" s="73"/>
      <c r="X14" s="101" t="s">
        <v>49</v>
      </c>
      <c r="Y14" s="49"/>
      <c r="Z14" s="49"/>
      <c r="AA14" s="65" t="n">
        <f aca="false">AA13+C14-U14-V14</f>
        <v>35053</v>
      </c>
    </row>
    <row r="15" s="51" customFormat="true" ht="60" hidden="false" customHeight="true" outlineLevel="0" collapsed="false">
      <c r="A15" s="53" t="n">
        <v>46090</v>
      </c>
      <c r="B15" s="54" t="n">
        <v>8.5</v>
      </c>
      <c r="C15" s="67" t="n">
        <v>43700</v>
      </c>
      <c r="D15" s="67" t="n">
        <v>2</v>
      </c>
      <c r="E15" s="55" t="n">
        <v>14450</v>
      </c>
      <c r="F15" s="67"/>
      <c r="G15" s="67"/>
      <c r="H15" s="67" t="n">
        <v>34</v>
      </c>
      <c r="I15" s="55" t="n">
        <v>214450</v>
      </c>
      <c r="J15" s="55" t="n">
        <v>2.5</v>
      </c>
      <c r="K15" s="55" t="n">
        <v>9000</v>
      </c>
      <c r="L15" s="55"/>
      <c r="M15" s="55"/>
      <c r="N15" s="55" t="n">
        <v>48</v>
      </c>
      <c r="O15" s="55" t="n">
        <v>1.5</v>
      </c>
      <c r="P15" s="56" t="n">
        <v>5750</v>
      </c>
      <c r="Q15" s="57" t="n">
        <f aca="false">SUM(B15,D15,F15,H15,J15,L15)</f>
        <v>47</v>
      </c>
      <c r="R15" s="57" t="n">
        <f aca="false">SUM(C15,E15,G15,I15,K15,M15)</f>
        <v>281600</v>
      </c>
      <c r="S15" s="69" t="s">
        <v>46</v>
      </c>
      <c r="T15" s="70"/>
      <c r="U15" s="71" t="n">
        <v>26850</v>
      </c>
      <c r="V15" s="72" t="n">
        <v>15800</v>
      </c>
      <c r="W15" s="73"/>
      <c r="X15" s="101" t="s">
        <v>49</v>
      </c>
      <c r="Y15" s="49"/>
      <c r="Z15" s="49"/>
      <c r="AA15" s="65" t="n">
        <f aca="false">AA14+C15-U15-V15</f>
        <v>36103</v>
      </c>
    </row>
    <row r="16" s="51" customFormat="true" ht="60" hidden="false" customHeight="true" outlineLevel="0" collapsed="false">
      <c r="A16" s="53" t="n">
        <v>46091</v>
      </c>
      <c r="B16" s="54" t="n">
        <v>3</v>
      </c>
      <c r="C16" s="67" t="n">
        <v>10900</v>
      </c>
      <c r="D16" s="67" t="n">
        <v>2.5</v>
      </c>
      <c r="E16" s="55" t="n">
        <v>12850</v>
      </c>
      <c r="F16" s="67"/>
      <c r="G16" s="67"/>
      <c r="H16" s="67" t="n">
        <v>14.5</v>
      </c>
      <c r="I16" s="55" t="n">
        <v>103550</v>
      </c>
      <c r="J16" s="55"/>
      <c r="K16" s="55"/>
      <c r="L16" s="55"/>
      <c r="M16" s="55"/>
      <c r="N16" s="55" t="n">
        <v>31</v>
      </c>
      <c r="O16" s="55"/>
      <c r="P16" s="56"/>
      <c r="Q16" s="57" t="n">
        <f aca="false">SUM(B16,D16,F16,H16,J16,L16)</f>
        <v>20</v>
      </c>
      <c r="R16" s="57" t="n">
        <f aca="false">SUM(C16,E16,G16,I16,K16,M16)</f>
        <v>127300</v>
      </c>
      <c r="S16" s="69" t="s">
        <v>48</v>
      </c>
      <c r="T16" s="70"/>
      <c r="U16" s="71" t="n">
        <v>8300</v>
      </c>
      <c r="V16" s="72" t="n">
        <v>6000</v>
      </c>
      <c r="W16" s="73"/>
      <c r="X16" s="101" t="s">
        <v>49</v>
      </c>
      <c r="Y16" s="49"/>
      <c r="Z16" s="49"/>
      <c r="AA16" s="65" t="n">
        <f aca="false">AA15+C16-U16-V16</f>
        <v>32703</v>
      </c>
    </row>
    <row r="17" s="51" customFormat="true" ht="60" hidden="false" customHeight="true" outlineLevel="0" collapsed="false">
      <c r="A17" s="53" t="n">
        <v>46092</v>
      </c>
      <c r="B17" s="54" t="n">
        <v>11.5</v>
      </c>
      <c r="C17" s="67" t="n">
        <v>51700</v>
      </c>
      <c r="D17" s="67" t="n">
        <v>4.5</v>
      </c>
      <c r="E17" s="55" t="n">
        <v>26400</v>
      </c>
      <c r="F17" s="67"/>
      <c r="G17" s="67"/>
      <c r="H17" s="67" t="n">
        <v>13</v>
      </c>
      <c r="I17" s="55" t="n">
        <v>61950</v>
      </c>
      <c r="J17" s="55" t="n">
        <v>1.5</v>
      </c>
      <c r="K17" s="55" t="n">
        <v>13650</v>
      </c>
      <c r="L17" s="55"/>
      <c r="M17" s="55"/>
      <c r="N17" s="55" t="n">
        <v>27.5</v>
      </c>
      <c r="O17" s="55" t="n">
        <v>2</v>
      </c>
      <c r="P17" s="56" t="n">
        <v>3950</v>
      </c>
      <c r="Q17" s="57" t="n">
        <f aca="false">SUM(B17,D17,F17,H17,J17,L17)</f>
        <v>30.5</v>
      </c>
      <c r="R17" s="57" t="n">
        <f aca="false">SUM(C17,E17,G17,I17,K17,M17)</f>
        <v>153700</v>
      </c>
      <c r="S17" s="69" t="s">
        <v>47</v>
      </c>
      <c r="T17" s="70"/>
      <c r="U17" s="71" t="n">
        <v>16150</v>
      </c>
      <c r="V17" s="72" t="n">
        <v>36450</v>
      </c>
      <c r="W17" s="73"/>
      <c r="X17" s="74" t="s">
        <v>50</v>
      </c>
      <c r="Y17" s="49"/>
      <c r="Z17" s="49"/>
      <c r="AA17" s="65" t="n">
        <f aca="false">AA16+C17-U17-V17</f>
        <v>31803</v>
      </c>
    </row>
    <row r="18" s="51" customFormat="true" ht="60" hidden="false" customHeight="true" outlineLevel="0" collapsed="false">
      <c r="A18" s="53" t="n">
        <v>46093</v>
      </c>
      <c r="B18" s="54" t="n">
        <v>7</v>
      </c>
      <c r="C18" s="67" t="n">
        <v>29350</v>
      </c>
      <c r="D18" s="67" t="n">
        <v>2.5</v>
      </c>
      <c r="E18" s="55" t="n">
        <v>26900</v>
      </c>
      <c r="F18" s="67"/>
      <c r="G18" s="67"/>
      <c r="H18" s="67" t="n">
        <v>24.5</v>
      </c>
      <c r="I18" s="55" t="n">
        <v>162500</v>
      </c>
      <c r="J18" s="55" t="n">
        <v>1</v>
      </c>
      <c r="K18" s="55" t="n">
        <v>6850</v>
      </c>
      <c r="L18" s="55"/>
      <c r="M18" s="55"/>
      <c r="N18" s="55" t="n">
        <v>34</v>
      </c>
      <c r="O18" s="55" t="n">
        <v>4.5</v>
      </c>
      <c r="P18" s="56" t="n">
        <v>57150</v>
      </c>
      <c r="Q18" s="57" t="n">
        <f aca="false">SUM(B18,D18,F18,H18,J18,L18)</f>
        <v>35</v>
      </c>
      <c r="R18" s="57" t="n">
        <f aca="false">SUM(C18,E18,G18,I18,K18,M18)</f>
        <v>225600</v>
      </c>
      <c r="S18" s="69" t="s">
        <v>47</v>
      </c>
      <c r="T18" s="70"/>
      <c r="U18" s="71"/>
      <c r="V18" s="72" t="n">
        <v>39200</v>
      </c>
      <c r="W18" s="73"/>
      <c r="X18" s="74"/>
      <c r="Y18" s="49"/>
      <c r="Z18" s="49"/>
      <c r="AA18" s="65" t="n">
        <f aca="false">AA17+C18-U18-V18</f>
        <v>21953</v>
      </c>
    </row>
    <row r="19" s="51" customFormat="true" ht="60" hidden="false" customHeight="true" outlineLevel="0" collapsed="false">
      <c r="A19" s="53" t="n">
        <v>46094</v>
      </c>
      <c r="B19" s="54" t="n">
        <v>7</v>
      </c>
      <c r="C19" s="67" t="n">
        <v>32600</v>
      </c>
      <c r="D19" s="67" t="n">
        <v>2.5</v>
      </c>
      <c r="E19" s="55" t="n">
        <v>15100</v>
      </c>
      <c r="F19" s="67" t="n">
        <v>1</v>
      </c>
      <c r="G19" s="67" t="n">
        <v>11000</v>
      </c>
      <c r="H19" s="67" t="n">
        <v>22.5</v>
      </c>
      <c r="I19" s="55" t="n">
        <v>174200</v>
      </c>
      <c r="J19" s="55"/>
      <c r="K19" s="55"/>
      <c r="L19" s="55"/>
      <c r="M19" s="55"/>
      <c r="N19" s="55" t="n">
        <v>39.5</v>
      </c>
      <c r="O19" s="55"/>
      <c r="P19" s="56"/>
      <c r="Q19" s="57" t="n">
        <f aca="false">SUM(B19,D19,F19,H19,J19,L19)</f>
        <v>33</v>
      </c>
      <c r="R19" s="57" t="n">
        <f aca="false">SUM(C19,E19,G19,I19,K19,M19)</f>
        <v>232900</v>
      </c>
      <c r="S19" s="69" t="s">
        <v>47</v>
      </c>
      <c r="T19" s="70"/>
      <c r="U19" s="71" t="n">
        <v>26200</v>
      </c>
      <c r="V19" s="72" t="n">
        <v>15400</v>
      </c>
      <c r="W19" s="73"/>
      <c r="X19" s="102"/>
      <c r="Y19" s="49"/>
      <c r="Z19" s="49"/>
      <c r="AA19" s="65" t="n">
        <f aca="false">AA18+C19-U19-V19</f>
        <v>12953</v>
      </c>
    </row>
    <row r="20" s="51" customFormat="true" ht="60" hidden="false" customHeight="true" outlineLevel="0" collapsed="false">
      <c r="A20" s="53" t="n">
        <v>46095</v>
      </c>
      <c r="B20" s="54" t="n">
        <v>9.5</v>
      </c>
      <c r="C20" s="67" t="n">
        <v>61400</v>
      </c>
      <c r="D20" s="67" t="n">
        <v>6.5</v>
      </c>
      <c r="E20" s="55" t="n">
        <v>36000</v>
      </c>
      <c r="F20" s="67"/>
      <c r="G20" s="67"/>
      <c r="H20" s="67" t="n">
        <v>36.5</v>
      </c>
      <c r="I20" s="55" t="n">
        <v>237800</v>
      </c>
      <c r="J20" s="55" t="n">
        <v>1.5</v>
      </c>
      <c r="K20" s="55" t="n">
        <v>10950</v>
      </c>
      <c r="L20" s="55"/>
      <c r="M20" s="55"/>
      <c r="N20" s="55" t="n">
        <v>76</v>
      </c>
      <c r="O20" s="55" t="n">
        <v>1</v>
      </c>
      <c r="P20" s="56" t="n">
        <v>12550</v>
      </c>
      <c r="Q20" s="57" t="n">
        <f aca="false">SUM(B20,D20,F20,H20,J20,L20)</f>
        <v>54</v>
      </c>
      <c r="R20" s="57" t="n">
        <f aca="false">SUM(C20,E20,G20,I20,K20,M20)</f>
        <v>346150</v>
      </c>
      <c r="S20" s="69" t="s">
        <v>45</v>
      </c>
      <c r="T20" s="70"/>
      <c r="U20" s="71" t="n">
        <v>27850</v>
      </c>
      <c r="V20" s="72" t="n">
        <v>33600</v>
      </c>
      <c r="W20" s="73"/>
      <c r="X20" s="102"/>
      <c r="Y20" s="49"/>
      <c r="Z20" s="49"/>
      <c r="AA20" s="65" t="n">
        <f aca="false">AA19+C20-U20-V20</f>
        <v>12903</v>
      </c>
    </row>
    <row r="21" s="51" customFormat="true" ht="60" hidden="false" customHeight="true" outlineLevel="0" collapsed="false">
      <c r="A21" s="53" t="n">
        <v>46096</v>
      </c>
      <c r="B21" s="54" t="n">
        <v>6</v>
      </c>
      <c r="C21" s="67" t="n">
        <v>28900</v>
      </c>
      <c r="D21" s="67" t="n">
        <v>4</v>
      </c>
      <c r="E21" s="55" t="n">
        <v>24400</v>
      </c>
      <c r="F21" s="67"/>
      <c r="G21" s="67"/>
      <c r="H21" s="67" t="n">
        <v>33</v>
      </c>
      <c r="I21" s="55" t="n">
        <v>138950</v>
      </c>
      <c r="J21" s="55" t="n">
        <v>1</v>
      </c>
      <c r="K21" s="55" t="n">
        <v>5650</v>
      </c>
      <c r="L21" s="55"/>
      <c r="M21" s="55"/>
      <c r="N21" s="55" t="n">
        <v>44.5</v>
      </c>
      <c r="O21" s="55" t="n">
        <v>2</v>
      </c>
      <c r="P21" s="56" t="n">
        <v>15750</v>
      </c>
      <c r="Q21" s="57" t="n">
        <f aca="false">SUM(B21,D21,F21,H21,J21,L21)</f>
        <v>44</v>
      </c>
      <c r="R21" s="57" t="n">
        <f aca="false">SUM(C21,E21,G21,I21,K21,M21)</f>
        <v>197900</v>
      </c>
      <c r="S21" s="69" t="s">
        <v>44</v>
      </c>
      <c r="T21" s="70"/>
      <c r="U21" s="71" t="n">
        <v>18650</v>
      </c>
      <c r="V21" s="72" t="n">
        <v>12350</v>
      </c>
      <c r="W21" s="73"/>
      <c r="X21" s="102"/>
      <c r="Y21" s="49"/>
      <c r="Z21" s="49"/>
      <c r="AA21" s="65" t="n">
        <f aca="false">AA20+C21-U21-V21</f>
        <v>10803</v>
      </c>
    </row>
    <row r="22" s="51" customFormat="true" ht="60" hidden="false" customHeight="true" outlineLevel="0" collapsed="false">
      <c r="A22" s="53" t="n">
        <v>46097</v>
      </c>
      <c r="B22" s="54" t="n">
        <v>4.5</v>
      </c>
      <c r="C22" s="67" t="n">
        <v>23850</v>
      </c>
      <c r="D22" s="67" t="n">
        <v>3.5</v>
      </c>
      <c r="E22" s="55" t="n">
        <v>22050</v>
      </c>
      <c r="F22" s="67"/>
      <c r="G22" s="67"/>
      <c r="H22" s="67" t="n">
        <v>13</v>
      </c>
      <c r="I22" s="55" t="n">
        <v>104600</v>
      </c>
      <c r="J22" s="55" t="n">
        <v>1.5</v>
      </c>
      <c r="K22" s="55" t="n">
        <v>12600</v>
      </c>
      <c r="L22" s="55"/>
      <c r="M22" s="55"/>
      <c r="N22" s="55" t="n">
        <v>37</v>
      </c>
      <c r="O22" s="55" t="n">
        <v>2.5</v>
      </c>
      <c r="P22" s="56" t="n">
        <v>6450</v>
      </c>
      <c r="Q22" s="57" t="n">
        <f aca="false">SUM(B22,D22,F22,H22,J22,L22)</f>
        <v>22.5</v>
      </c>
      <c r="R22" s="57" t="n">
        <f aca="false">SUM(C22,E22,G22,I22,K22,M22)</f>
        <v>163100</v>
      </c>
      <c r="S22" s="69" t="s">
        <v>44</v>
      </c>
      <c r="T22" s="70"/>
      <c r="U22" s="71"/>
      <c r="V22" s="72" t="n">
        <v>28200</v>
      </c>
      <c r="W22" s="73"/>
      <c r="X22" s="102"/>
      <c r="Y22" s="49"/>
      <c r="Z22" s="49"/>
      <c r="AA22" s="65" t="n">
        <f aca="false">AA21+C22-U22-V22</f>
        <v>6453</v>
      </c>
    </row>
    <row r="23" s="51" customFormat="true" ht="60" hidden="false" customHeight="true" outlineLevel="0" collapsed="false">
      <c r="A23" s="53" t="n">
        <v>46098</v>
      </c>
      <c r="B23" s="76" t="n">
        <v>5.5</v>
      </c>
      <c r="C23" s="67" t="n">
        <v>22850</v>
      </c>
      <c r="D23" s="67" t="n">
        <v>5</v>
      </c>
      <c r="E23" s="55" t="n">
        <v>23600</v>
      </c>
      <c r="F23" s="67"/>
      <c r="G23" s="67"/>
      <c r="H23" s="67" t="n">
        <v>27.5</v>
      </c>
      <c r="I23" s="55" t="n">
        <v>177100</v>
      </c>
      <c r="J23" s="55"/>
      <c r="K23" s="55"/>
      <c r="L23" s="55"/>
      <c r="M23" s="55"/>
      <c r="N23" s="55" t="n">
        <v>44</v>
      </c>
      <c r="O23" s="55"/>
      <c r="P23" s="56"/>
      <c r="Q23" s="57" t="n">
        <f aca="false">SUM(B23,D23,F23,H23,J23,L23)</f>
        <v>38</v>
      </c>
      <c r="R23" s="57" t="n">
        <f aca="false">SUM(C23,E23,G23,I23,K23,M23)</f>
        <v>223550</v>
      </c>
      <c r="S23" s="69" t="s">
        <v>48</v>
      </c>
      <c r="T23" s="70"/>
      <c r="U23" s="71" t="n">
        <v>27550</v>
      </c>
      <c r="V23" s="72"/>
      <c r="W23" s="73"/>
      <c r="X23" s="102"/>
      <c r="Y23" s="49"/>
      <c r="Z23" s="49"/>
      <c r="AA23" s="65" t="n">
        <f aca="false">AA22+C23-U23-V23</f>
        <v>1753</v>
      </c>
    </row>
    <row r="24" s="51" customFormat="true" ht="60" hidden="false" customHeight="true" outlineLevel="0" collapsed="false">
      <c r="A24" s="53" t="n">
        <v>46099</v>
      </c>
      <c r="B24" s="76" t="n">
        <v>6.5</v>
      </c>
      <c r="C24" s="67" t="n">
        <v>32800</v>
      </c>
      <c r="D24" s="67" t="n">
        <v>2</v>
      </c>
      <c r="E24" s="55" t="n">
        <v>23050</v>
      </c>
      <c r="F24" s="67"/>
      <c r="G24" s="67"/>
      <c r="H24" s="67" t="n">
        <v>19</v>
      </c>
      <c r="I24" s="55" t="n">
        <v>135250</v>
      </c>
      <c r="J24" s="55" t="n">
        <v>1</v>
      </c>
      <c r="K24" s="55" t="n">
        <v>6250</v>
      </c>
      <c r="L24" s="55"/>
      <c r="M24" s="55"/>
      <c r="N24" s="55" t="n">
        <v>40.5</v>
      </c>
      <c r="O24" s="55" t="n">
        <v>1</v>
      </c>
      <c r="P24" s="56" t="n">
        <v>10250</v>
      </c>
      <c r="Q24" s="57" t="n">
        <f aca="false">SUM(B24,D24,F24,H24,J24,L24)</f>
        <v>28.5</v>
      </c>
      <c r="R24" s="57" t="n">
        <f aca="false">SUM(C24,E24,G24,I24,K24,M24)</f>
        <v>197350</v>
      </c>
      <c r="S24" s="69" t="s">
        <v>48</v>
      </c>
      <c r="T24" s="70"/>
      <c r="U24" s="71" t="n">
        <v>9850</v>
      </c>
      <c r="V24" s="72" t="n">
        <v>24300</v>
      </c>
      <c r="W24" s="73"/>
      <c r="X24" s="101" t="s">
        <v>51</v>
      </c>
      <c r="Y24" s="49"/>
      <c r="Z24" s="49"/>
      <c r="AA24" s="65" t="n">
        <f aca="false">AA23+C24-U24-V24</f>
        <v>403</v>
      </c>
    </row>
    <row r="25" s="51" customFormat="true" ht="60" hidden="false" customHeight="true" outlineLevel="0" collapsed="false">
      <c r="A25" s="53" t="n">
        <v>46100</v>
      </c>
      <c r="B25" s="76" t="n">
        <v>12.5</v>
      </c>
      <c r="C25" s="67" t="n">
        <v>65250</v>
      </c>
      <c r="D25" s="67" t="n">
        <v>6</v>
      </c>
      <c r="E25" s="55" t="n">
        <v>39050</v>
      </c>
      <c r="F25" s="67"/>
      <c r="G25" s="67"/>
      <c r="H25" s="67" t="n">
        <v>36.5</v>
      </c>
      <c r="I25" s="55" t="n">
        <v>270300</v>
      </c>
      <c r="J25" s="55" t="n">
        <v>2.5</v>
      </c>
      <c r="K25" s="55" t="n">
        <v>16500</v>
      </c>
      <c r="L25" s="55"/>
      <c r="M25" s="55"/>
      <c r="N25" s="55" t="n">
        <v>51.5</v>
      </c>
      <c r="O25" s="55" t="n">
        <v>1</v>
      </c>
      <c r="P25" s="56" t="n">
        <v>6250</v>
      </c>
      <c r="Q25" s="57" t="n">
        <f aca="false">SUM(B25,D25,F25,H25,J25,L25)</f>
        <v>57.5</v>
      </c>
      <c r="R25" s="57" t="n">
        <f aca="false">SUM(C25,E25,G25,I25,K25,M25)</f>
        <v>391100</v>
      </c>
      <c r="S25" s="69" t="s">
        <v>52</v>
      </c>
      <c r="T25" s="70"/>
      <c r="U25" s="71" t="n">
        <v>15700</v>
      </c>
      <c r="V25" s="72" t="n">
        <v>35400</v>
      </c>
      <c r="W25" s="73"/>
      <c r="X25" s="101" t="s">
        <v>53</v>
      </c>
      <c r="Y25" s="49"/>
      <c r="Z25" s="49"/>
      <c r="AA25" s="65" t="n">
        <f aca="false">AA24+C25-U25-V25</f>
        <v>14553</v>
      </c>
    </row>
    <row r="26" s="51" customFormat="true" ht="60" hidden="false" customHeight="true" outlineLevel="0" collapsed="false">
      <c r="A26" s="53" t="n">
        <v>46101</v>
      </c>
      <c r="B26" s="76" t="n">
        <v>7.5</v>
      </c>
      <c r="C26" s="67" t="n">
        <v>74450</v>
      </c>
      <c r="D26" s="67" t="n">
        <v>4</v>
      </c>
      <c r="E26" s="55" t="n">
        <v>30000</v>
      </c>
      <c r="F26" s="67"/>
      <c r="G26" s="67"/>
      <c r="H26" s="67" t="n">
        <v>32.5</v>
      </c>
      <c r="I26" s="55" t="n">
        <v>194900</v>
      </c>
      <c r="J26" s="55" t="n">
        <v>6</v>
      </c>
      <c r="K26" s="55" t="n">
        <v>19500</v>
      </c>
      <c r="L26" s="55"/>
      <c r="M26" s="55"/>
      <c r="N26" s="55" t="n">
        <v>47</v>
      </c>
      <c r="O26" s="55" t="n">
        <v>2.5</v>
      </c>
      <c r="P26" s="56" t="n">
        <v>8100</v>
      </c>
      <c r="Q26" s="57" t="n">
        <f aca="false">SUM(B26,D26,F26,H26,J26,L26)</f>
        <v>50</v>
      </c>
      <c r="R26" s="57" t="n">
        <f aca="false">SUM(C26,E26,G26,I26,K26,M26)</f>
        <v>318850</v>
      </c>
      <c r="S26" s="69" t="s">
        <v>54</v>
      </c>
      <c r="T26" s="70"/>
      <c r="U26" s="71" t="n">
        <v>23200</v>
      </c>
      <c r="V26" s="72" t="n">
        <v>46600</v>
      </c>
      <c r="W26" s="73"/>
      <c r="X26" s="74" t="s">
        <v>55</v>
      </c>
      <c r="Y26" s="49"/>
      <c r="Z26" s="49"/>
      <c r="AA26" s="65" t="n">
        <f aca="false">AA25+C26-U26-V26</f>
        <v>19203</v>
      </c>
    </row>
    <row r="27" s="51" customFormat="true" ht="60" hidden="false" customHeight="true" outlineLevel="0" collapsed="false">
      <c r="A27" s="53" t="n">
        <v>46102</v>
      </c>
      <c r="B27" s="76" t="n">
        <v>5</v>
      </c>
      <c r="C27" s="67" t="n">
        <v>25400</v>
      </c>
      <c r="D27" s="67" t="n">
        <v>7</v>
      </c>
      <c r="E27" s="55" t="n">
        <v>49450</v>
      </c>
      <c r="F27" s="67" t="n">
        <v>1</v>
      </c>
      <c r="G27" s="67" t="n">
        <v>5400</v>
      </c>
      <c r="H27" s="67" t="n">
        <v>41</v>
      </c>
      <c r="I27" s="55" t="n">
        <v>311700</v>
      </c>
      <c r="J27" s="55" t="n">
        <v>1</v>
      </c>
      <c r="K27" s="55" t="n">
        <v>11750</v>
      </c>
      <c r="L27" s="55"/>
      <c r="M27" s="55"/>
      <c r="N27" s="55" t="n">
        <v>91.5</v>
      </c>
      <c r="O27" s="55"/>
      <c r="P27" s="56"/>
      <c r="Q27" s="57" t="n">
        <f aca="false">SUM(B27,D27,F27,H27,J27,L27)</f>
        <v>55</v>
      </c>
      <c r="R27" s="57" t="n">
        <f aca="false">SUM(C27,E27,G27,I27,K27,M27)</f>
        <v>403700</v>
      </c>
      <c r="S27" s="69" t="s">
        <v>44</v>
      </c>
      <c r="T27" s="70"/>
      <c r="U27" s="71"/>
      <c r="V27" s="72" t="n">
        <v>22350</v>
      </c>
      <c r="W27" s="73"/>
      <c r="X27" s="102"/>
      <c r="Y27" s="49"/>
      <c r="Z27" s="49"/>
      <c r="AA27" s="65" t="n">
        <f aca="false">AA26+C27-U27-V27</f>
        <v>22253</v>
      </c>
    </row>
    <row r="28" s="51" customFormat="true" ht="60" hidden="false" customHeight="true" outlineLevel="0" collapsed="false">
      <c r="A28" s="53" t="n">
        <v>46103</v>
      </c>
      <c r="B28" s="76" t="n">
        <v>16</v>
      </c>
      <c r="C28" s="67" t="n">
        <v>92100</v>
      </c>
      <c r="D28" s="67" t="n">
        <v>5</v>
      </c>
      <c r="E28" s="55" t="n">
        <v>23100</v>
      </c>
      <c r="F28" s="67"/>
      <c r="G28" s="67"/>
      <c r="H28" s="67" t="n">
        <v>27.5</v>
      </c>
      <c r="I28" s="55" t="n">
        <v>195000</v>
      </c>
      <c r="J28" s="55" t="n">
        <v>1</v>
      </c>
      <c r="K28" s="55" t="n">
        <v>4700</v>
      </c>
      <c r="L28" s="55"/>
      <c r="M28" s="55"/>
      <c r="N28" s="55" t="n">
        <v>66</v>
      </c>
      <c r="O28" s="55"/>
      <c r="P28" s="56"/>
      <c r="Q28" s="57" t="n">
        <f aca="false">SUM(B28,D28,F28,H28,J28,L28)</f>
        <v>49.5</v>
      </c>
      <c r="R28" s="57" t="n">
        <f aca="false">SUM(C28,E28,G28,I28,K28,M28)</f>
        <v>314900</v>
      </c>
      <c r="S28" s="69" t="s">
        <v>54</v>
      </c>
      <c r="T28" s="70"/>
      <c r="U28" s="71"/>
      <c r="V28" s="72" t="n">
        <v>89500</v>
      </c>
      <c r="W28" s="73"/>
      <c r="X28" s="102"/>
      <c r="Y28" s="49"/>
      <c r="Z28" s="49"/>
      <c r="AA28" s="65" t="n">
        <f aca="false">AA27+C28-U28-V28</f>
        <v>24853</v>
      </c>
    </row>
    <row r="29" s="51" customFormat="true" ht="60" hidden="false" customHeight="true" outlineLevel="0" collapsed="false">
      <c r="A29" s="53" t="n">
        <v>46104</v>
      </c>
      <c r="B29" s="76" t="n">
        <v>7</v>
      </c>
      <c r="C29" s="67" t="n">
        <v>51000</v>
      </c>
      <c r="D29" s="67" t="n">
        <v>5.5</v>
      </c>
      <c r="E29" s="55" t="n">
        <v>47550</v>
      </c>
      <c r="F29" s="67"/>
      <c r="G29" s="67"/>
      <c r="H29" s="67" t="n">
        <v>37.5</v>
      </c>
      <c r="I29" s="55" t="n">
        <v>180000</v>
      </c>
      <c r="J29" s="55"/>
      <c r="K29" s="55"/>
      <c r="L29" s="55"/>
      <c r="M29" s="55"/>
      <c r="N29" s="55" t="n">
        <v>49.5</v>
      </c>
      <c r="O29" s="55" t="n">
        <v>1</v>
      </c>
      <c r="P29" s="56" t="n">
        <v>5700</v>
      </c>
      <c r="Q29" s="57" t="n">
        <f aca="false">SUM(B29,D29,F29,H29,J29,L29)</f>
        <v>50</v>
      </c>
      <c r="R29" s="57" t="n">
        <f aca="false">SUM(C29,E29,G29,I29,K29,M29)</f>
        <v>278550</v>
      </c>
      <c r="S29" s="69" t="s">
        <v>44</v>
      </c>
      <c r="T29" s="70"/>
      <c r="U29" s="71"/>
      <c r="V29" s="72" t="n">
        <v>41200</v>
      </c>
      <c r="W29" s="73"/>
      <c r="X29" s="74"/>
      <c r="Y29" s="49"/>
      <c r="Z29" s="49"/>
      <c r="AA29" s="65" t="n">
        <f aca="false">AA28+C29-U29-V29</f>
        <v>34653</v>
      </c>
    </row>
    <row r="30" s="51" customFormat="true" ht="60" hidden="false" customHeight="true" outlineLevel="0" collapsed="false">
      <c r="A30" s="53" t="n">
        <v>46105</v>
      </c>
      <c r="B30" s="76" t="n">
        <v>10.5</v>
      </c>
      <c r="C30" s="67" t="n">
        <v>56300</v>
      </c>
      <c r="D30" s="67"/>
      <c r="E30" s="55"/>
      <c r="F30" s="67"/>
      <c r="G30" s="67"/>
      <c r="H30" s="67" t="n">
        <v>23.5</v>
      </c>
      <c r="I30" s="55" t="n">
        <v>147250</v>
      </c>
      <c r="J30" s="55" t="n">
        <v>1</v>
      </c>
      <c r="K30" s="55" t="n">
        <v>5500</v>
      </c>
      <c r="L30" s="55"/>
      <c r="M30" s="55"/>
      <c r="N30" s="55" t="n">
        <v>36</v>
      </c>
      <c r="O30" s="55"/>
      <c r="P30" s="56"/>
      <c r="Q30" s="57" t="n">
        <f aca="false">SUM(B30,D30,F30,H30,J30,L30)</f>
        <v>35</v>
      </c>
      <c r="R30" s="57" t="n">
        <f aca="false">SUM(C30,E30,G30,I30,K30,M30)</f>
        <v>209050</v>
      </c>
      <c r="S30" s="69" t="s">
        <v>44</v>
      </c>
      <c r="T30" s="70"/>
      <c r="U30" s="71" t="n">
        <v>29550</v>
      </c>
      <c r="V30" s="72" t="n">
        <v>18500</v>
      </c>
      <c r="W30" s="73"/>
      <c r="X30" s="102"/>
      <c r="Y30" s="49"/>
      <c r="Z30" s="49"/>
      <c r="AA30" s="65" t="n">
        <f aca="false">AA29+C30-U30-V30</f>
        <v>42903</v>
      </c>
    </row>
    <row r="31" s="51" customFormat="true" ht="60" hidden="false" customHeight="true" outlineLevel="0" collapsed="false">
      <c r="A31" s="53" t="n">
        <v>46106</v>
      </c>
      <c r="B31" s="76" t="n">
        <v>9.5</v>
      </c>
      <c r="C31" s="67" t="n">
        <v>72650</v>
      </c>
      <c r="D31" s="67" t="n">
        <v>3</v>
      </c>
      <c r="E31" s="55" t="n">
        <v>16050</v>
      </c>
      <c r="F31" s="67"/>
      <c r="G31" s="67"/>
      <c r="H31" s="67" t="n">
        <v>26</v>
      </c>
      <c r="I31" s="55" t="n">
        <v>200950</v>
      </c>
      <c r="J31" s="55" t="n">
        <v>1</v>
      </c>
      <c r="K31" s="55" t="n">
        <v>5100</v>
      </c>
      <c r="L31" s="55"/>
      <c r="M31" s="55"/>
      <c r="N31" s="55" t="n">
        <v>69</v>
      </c>
      <c r="O31" s="55" t="n">
        <v>1.5</v>
      </c>
      <c r="P31" s="56" t="n">
        <v>11750</v>
      </c>
      <c r="Q31" s="57" t="n">
        <f aca="false">SUM(B31,D31,F31,H31,J31,L31)</f>
        <v>39.5</v>
      </c>
      <c r="R31" s="57" t="n">
        <f aca="false">SUM(C31,E31,G31,I31,K31,M31)</f>
        <v>294750</v>
      </c>
      <c r="S31" s="69" t="s">
        <v>44</v>
      </c>
      <c r="T31" s="70"/>
      <c r="U31" s="71"/>
      <c r="V31" s="72" t="n">
        <v>84200</v>
      </c>
      <c r="W31" s="73"/>
      <c r="X31" s="102"/>
      <c r="Y31" s="49"/>
      <c r="Z31" s="49"/>
      <c r="AA31" s="65" t="n">
        <f aca="false">AA30+C31-U31-V31</f>
        <v>31353</v>
      </c>
    </row>
    <row r="32" s="51" customFormat="true" ht="60" hidden="false" customHeight="true" outlineLevel="0" collapsed="false">
      <c r="A32" s="53" t="n">
        <v>46107</v>
      </c>
      <c r="B32" s="76" t="n">
        <v>5.5</v>
      </c>
      <c r="C32" s="67" t="n">
        <v>54750</v>
      </c>
      <c r="D32" s="67" t="n">
        <v>8</v>
      </c>
      <c r="E32" s="55" t="n">
        <v>58250</v>
      </c>
      <c r="F32" s="67"/>
      <c r="G32" s="67"/>
      <c r="H32" s="67" t="n">
        <v>24.5</v>
      </c>
      <c r="I32" s="55" t="n">
        <v>139950</v>
      </c>
      <c r="J32" s="55" t="n">
        <v>1.5</v>
      </c>
      <c r="K32" s="55" t="n">
        <v>13000</v>
      </c>
      <c r="L32" s="55"/>
      <c r="M32" s="55"/>
      <c r="N32" s="55" t="n">
        <v>54</v>
      </c>
      <c r="O32" s="55" t="n">
        <v>1</v>
      </c>
      <c r="P32" s="56" t="n">
        <v>4800</v>
      </c>
      <c r="Q32" s="57" t="n">
        <f aca="false">SUM(B32,D32,F32,H32,J32,L32)</f>
        <v>39.5</v>
      </c>
      <c r="R32" s="57" t="n">
        <f aca="false">SUM(C32,E32,G32,I32,K32,M32)</f>
        <v>265950</v>
      </c>
      <c r="S32" s="69" t="s">
        <v>45</v>
      </c>
      <c r="T32" s="70"/>
      <c r="U32" s="71"/>
      <c r="V32" s="72" t="n">
        <v>55800</v>
      </c>
      <c r="W32" s="73"/>
      <c r="X32" s="102"/>
      <c r="Y32" s="49"/>
      <c r="Z32" s="49"/>
      <c r="AA32" s="65" t="n">
        <f aca="false">AA31+C32-U32-V32</f>
        <v>30303</v>
      </c>
    </row>
    <row r="33" s="51" customFormat="true" ht="60" hidden="false" customHeight="true" outlineLevel="0" collapsed="false">
      <c r="A33" s="53" t="n">
        <v>46108</v>
      </c>
      <c r="B33" s="76" t="n">
        <v>9.5</v>
      </c>
      <c r="C33" s="67" t="n">
        <v>44900</v>
      </c>
      <c r="D33" s="67" t="n">
        <v>4.5</v>
      </c>
      <c r="E33" s="55" t="n">
        <v>19550</v>
      </c>
      <c r="F33" s="67"/>
      <c r="G33" s="67"/>
      <c r="H33" s="67" t="n">
        <v>28</v>
      </c>
      <c r="I33" s="55" t="n">
        <v>208850</v>
      </c>
      <c r="J33" s="55"/>
      <c r="K33" s="55"/>
      <c r="L33" s="55"/>
      <c r="M33" s="55"/>
      <c r="N33" s="55" t="n">
        <v>54</v>
      </c>
      <c r="O33" s="55"/>
      <c r="P33" s="56"/>
      <c r="Q33" s="57" t="n">
        <f aca="false">SUM(B33,D33,F33,H33,J33,L33)</f>
        <v>42</v>
      </c>
      <c r="R33" s="57" t="n">
        <f aca="false">SUM(C33,E33,G33,I33,K33,M33)</f>
        <v>273300</v>
      </c>
      <c r="S33" s="69" t="s">
        <v>54</v>
      </c>
      <c r="T33" s="70"/>
      <c r="U33" s="71"/>
      <c r="V33" s="72" t="n">
        <v>32100</v>
      </c>
      <c r="W33" s="73"/>
      <c r="X33" s="102"/>
      <c r="Y33" s="49"/>
      <c r="Z33" s="49"/>
      <c r="AA33" s="65" t="n">
        <f aca="false">AA32+C33-U33-V33</f>
        <v>43103</v>
      </c>
    </row>
    <row r="34" s="51" customFormat="true" ht="60" hidden="false" customHeight="true" outlineLevel="0" collapsed="false">
      <c r="A34" s="53" t="n">
        <v>46109</v>
      </c>
      <c r="B34" s="76" t="n">
        <v>9.5</v>
      </c>
      <c r="C34" s="67" t="n">
        <v>45300</v>
      </c>
      <c r="D34" s="67" t="n">
        <v>7.5</v>
      </c>
      <c r="E34" s="55" t="n">
        <v>27200</v>
      </c>
      <c r="F34" s="67"/>
      <c r="G34" s="67"/>
      <c r="H34" s="67" t="n">
        <v>37.5</v>
      </c>
      <c r="I34" s="55" t="n">
        <v>269550</v>
      </c>
      <c r="J34" s="55" t="n">
        <v>2.5</v>
      </c>
      <c r="K34" s="55" t="n">
        <v>24250</v>
      </c>
      <c r="L34" s="55"/>
      <c r="M34" s="55"/>
      <c r="N34" s="55" t="n">
        <v>61</v>
      </c>
      <c r="O34" s="55" t="n">
        <v>1</v>
      </c>
      <c r="P34" s="56" t="n">
        <v>6200</v>
      </c>
      <c r="Q34" s="57" t="n">
        <f aca="false">SUM(B34,D34,F34,H34,J34,L34)</f>
        <v>57</v>
      </c>
      <c r="R34" s="57" t="n">
        <f aca="false">SUM(C34,E34,G34,I34,K34,M34)</f>
        <v>366300</v>
      </c>
      <c r="S34" s="69" t="s">
        <v>48</v>
      </c>
      <c r="T34" s="70"/>
      <c r="U34" s="71" t="n">
        <v>33050</v>
      </c>
      <c r="V34" s="72" t="n">
        <v>22000</v>
      </c>
      <c r="W34" s="73"/>
      <c r="X34" s="102"/>
      <c r="Y34" s="49"/>
      <c r="Z34" s="49"/>
      <c r="AA34" s="65" t="n">
        <f aca="false">AA33+C34-U34-V34</f>
        <v>33353</v>
      </c>
    </row>
    <row r="35" s="51" customFormat="true" ht="60" hidden="false" customHeight="true" outlineLevel="0" collapsed="false">
      <c r="A35" s="53" t="n">
        <v>46110</v>
      </c>
      <c r="B35" s="76" t="n">
        <v>10.5</v>
      </c>
      <c r="C35" s="67" t="n">
        <v>83550</v>
      </c>
      <c r="D35" s="67" t="n">
        <v>7.5</v>
      </c>
      <c r="E35" s="55" t="n">
        <v>44950</v>
      </c>
      <c r="F35" s="67"/>
      <c r="G35" s="67"/>
      <c r="H35" s="67" t="n">
        <v>30</v>
      </c>
      <c r="I35" s="55" t="n">
        <v>194200</v>
      </c>
      <c r="J35" s="55" t="n">
        <v>1</v>
      </c>
      <c r="K35" s="55" t="n">
        <v>6600</v>
      </c>
      <c r="L35" s="55"/>
      <c r="M35" s="55"/>
      <c r="N35" s="55" t="n">
        <v>84</v>
      </c>
      <c r="O35" s="55"/>
      <c r="P35" s="56"/>
      <c r="Q35" s="57" t="n">
        <f aca="false">SUM(B35,D35,F35,H35,J35,L35)</f>
        <v>49</v>
      </c>
      <c r="R35" s="57" t="n">
        <f aca="false">SUM(C35,E35,G35,I35,K35,M35)</f>
        <v>329300</v>
      </c>
      <c r="S35" s="69" t="s">
        <v>44</v>
      </c>
      <c r="T35" s="70"/>
      <c r="U35" s="71"/>
      <c r="V35" s="72" t="n">
        <v>55000</v>
      </c>
      <c r="W35" s="73"/>
      <c r="X35" s="75"/>
      <c r="Y35" s="49"/>
      <c r="Z35" s="49"/>
      <c r="AA35" s="65" t="n">
        <f aca="false">AA34+C35-U35-V35</f>
        <v>61903</v>
      </c>
    </row>
    <row r="36" s="51" customFormat="true" ht="60" hidden="false" customHeight="true" outlineLevel="0" collapsed="false">
      <c r="A36" s="53" t="n">
        <v>46111</v>
      </c>
      <c r="B36" s="76" t="n">
        <v>7.5</v>
      </c>
      <c r="C36" s="67" t="n">
        <v>45900</v>
      </c>
      <c r="D36" s="67" t="n">
        <v>3.5</v>
      </c>
      <c r="E36" s="55" t="n">
        <v>23350</v>
      </c>
      <c r="F36" s="67"/>
      <c r="G36" s="67"/>
      <c r="H36" s="67" t="n">
        <v>25.5</v>
      </c>
      <c r="I36" s="55" t="n">
        <v>207300</v>
      </c>
      <c r="J36" s="55" t="n">
        <v>4</v>
      </c>
      <c r="K36" s="55" t="n">
        <v>13750</v>
      </c>
      <c r="L36" s="55"/>
      <c r="M36" s="55"/>
      <c r="N36" s="55" t="n">
        <v>53.5</v>
      </c>
      <c r="O36" s="55"/>
      <c r="P36" s="56"/>
      <c r="Q36" s="57" t="n">
        <f aca="false">SUM(B36,D36,F36,H36,J36,L36)</f>
        <v>40.5</v>
      </c>
      <c r="R36" s="57" t="n">
        <f aca="false">SUM(C36,E36,G36,I36,K36,M36)</f>
        <v>290300</v>
      </c>
      <c r="S36" s="69" t="s">
        <v>54</v>
      </c>
      <c r="T36" s="70"/>
      <c r="U36" s="71" t="n">
        <v>1030</v>
      </c>
      <c r="V36" s="72" t="n">
        <v>40100</v>
      </c>
      <c r="W36" s="73"/>
      <c r="X36" s="75"/>
      <c r="Y36" s="49"/>
      <c r="Z36" s="49"/>
      <c r="AA36" s="65" t="n">
        <f aca="false">AA35+C36-U36-V36</f>
        <v>66673</v>
      </c>
    </row>
    <row r="37" s="51" customFormat="true" ht="60" hidden="false" customHeight="true" outlineLevel="0" collapsed="false">
      <c r="A37" s="53" t="n">
        <v>46112</v>
      </c>
      <c r="B37" s="76" t="n">
        <v>4.5</v>
      </c>
      <c r="C37" s="67" t="n">
        <v>41850</v>
      </c>
      <c r="D37" s="67" t="n">
        <v>2.5</v>
      </c>
      <c r="E37" s="55" t="n">
        <v>21800</v>
      </c>
      <c r="F37" s="67"/>
      <c r="G37" s="67"/>
      <c r="H37" s="67" t="n">
        <v>18.5</v>
      </c>
      <c r="I37" s="55" t="n">
        <v>127700</v>
      </c>
      <c r="J37" s="55"/>
      <c r="K37" s="55"/>
      <c r="L37" s="55"/>
      <c r="M37" s="55"/>
      <c r="N37" s="55" t="n">
        <v>44</v>
      </c>
      <c r="O37" s="55"/>
      <c r="P37" s="56"/>
      <c r="Q37" s="57" t="n">
        <f aca="false">SUM(B37,D37,F37,H37,J37,L37)</f>
        <v>25.5</v>
      </c>
      <c r="R37" s="57" t="n">
        <f aca="false">SUM(C37,E37,G37,I37,K37,M37)</f>
        <v>191350</v>
      </c>
      <c r="S37" s="69" t="s">
        <v>47</v>
      </c>
      <c r="T37" s="70"/>
      <c r="U37" s="71" t="n">
        <v>15600</v>
      </c>
      <c r="V37" s="72" t="n">
        <v>13150</v>
      </c>
      <c r="W37" s="73" t="n">
        <v>6600</v>
      </c>
      <c r="X37" s="75" t="s">
        <v>56</v>
      </c>
      <c r="Y37" s="49"/>
      <c r="Z37" s="49"/>
      <c r="AA37" s="65" t="n">
        <f aca="false">AA36+C37-U37-V37</f>
        <v>79773</v>
      </c>
    </row>
    <row r="38" s="84" customFormat="true" ht="96.75" hidden="false" customHeight="true" outlineLevel="0" collapsed="false">
      <c r="A38" s="78"/>
      <c r="B38" s="79" t="n">
        <f aca="false">SUM(B7:B37)</f>
        <v>240</v>
      </c>
      <c r="C38" s="79" t="n">
        <f aca="false">SUM(C7:C37)</f>
        <v>1466650</v>
      </c>
      <c r="D38" s="79" t="n">
        <f aca="false">SUM(D7:D37)</f>
        <v>128</v>
      </c>
      <c r="E38" s="79" t="n">
        <f aca="false">SUM(E7:E37)</f>
        <v>797500</v>
      </c>
      <c r="F38" s="79" t="n">
        <f aca="false">SUM(F7:F37)</f>
        <v>2</v>
      </c>
      <c r="G38" s="79" t="n">
        <f aca="false">SUM(G7:G37)</f>
        <v>16400</v>
      </c>
      <c r="H38" s="79" t="n">
        <f aca="false">SUM(H7:H37)</f>
        <v>830</v>
      </c>
      <c r="I38" s="79" t="n">
        <f aca="false">SUM(I7:I37)</f>
        <v>5519400</v>
      </c>
      <c r="J38" s="79" t="n">
        <f aca="false">SUM(J7:J37)</f>
        <v>45.5</v>
      </c>
      <c r="K38" s="79" t="n">
        <f aca="false">SUM(K7:K37)</f>
        <v>266550</v>
      </c>
      <c r="L38" s="79" t="n">
        <f aca="false">SUM(L7:L37)</f>
        <v>0</v>
      </c>
      <c r="M38" s="79" t="n">
        <f aca="false">SUM(M7:M37)</f>
        <v>0</v>
      </c>
      <c r="N38" s="79" t="n">
        <f aca="false">SUM(N7:N37)</f>
        <v>1612</v>
      </c>
      <c r="O38" s="79" t="n">
        <f aca="false">SUM(O7:O37)</f>
        <v>31</v>
      </c>
      <c r="P38" s="79" t="n">
        <f aca="false">SUM(P7:P37)</f>
        <v>208100</v>
      </c>
      <c r="Q38" s="79" t="n">
        <f aca="false">SUM(Q7:Q37)</f>
        <v>1245.5</v>
      </c>
      <c r="R38" s="79" t="n">
        <f aca="false">SUM(R7:R37)</f>
        <v>8066500</v>
      </c>
      <c r="S38" s="79" t="n">
        <f aca="false">SUM(S7:S37)</f>
        <v>0</v>
      </c>
      <c r="T38" s="79" t="n">
        <f aca="false">SUM(T7:T37)</f>
        <v>0</v>
      </c>
      <c r="U38" s="79" t="n">
        <f aca="false">SUM(U7:U37)</f>
        <v>379780</v>
      </c>
      <c r="V38" s="79" t="n">
        <f aca="false">SUM(V7:V37)</f>
        <v>1007150</v>
      </c>
      <c r="W38" s="79" t="n">
        <f aca="false">SUM(W7:W37)</f>
        <v>6600</v>
      </c>
      <c r="X38" s="80" t="n">
        <f aca="false">SUM(X7:X37)</f>
        <v>0</v>
      </c>
      <c r="Y38" s="81" t="s">
        <v>39</v>
      </c>
      <c r="Z38" s="82"/>
      <c r="AA38" s="83"/>
    </row>
    <row r="39" s="96" customFormat="true" ht="109.5" hidden="false" customHeight="true" outlineLevel="0" collapsed="false">
      <c r="A39" s="85"/>
      <c r="B39" s="86"/>
      <c r="C39" s="86"/>
      <c r="D39" s="86"/>
      <c r="E39" s="86"/>
      <c r="F39" s="86"/>
      <c r="G39" s="86"/>
      <c r="H39" s="87" t="s">
        <v>40</v>
      </c>
      <c r="I39" s="86"/>
      <c r="J39" s="86"/>
      <c r="K39" s="86"/>
      <c r="L39" s="86"/>
      <c r="M39" s="86"/>
      <c r="N39" s="86"/>
      <c r="O39" s="86"/>
      <c r="P39" s="87" t="s">
        <v>40</v>
      </c>
      <c r="Q39" s="88" t="n">
        <f aca="false">SUM(Q7:Q38)</f>
        <v>2491</v>
      </c>
      <c r="R39" s="89" t="n">
        <f aca="false">SUM(R7:R38)</f>
        <v>16133000</v>
      </c>
      <c r="S39" s="90"/>
      <c r="T39" s="91"/>
      <c r="U39" s="92" t="n">
        <f aca="false">U38+V38</f>
        <v>1386930</v>
      </c>
      <c r="V39" s="92"/>
      <c r="W39" s="93"/>
      <c r="X39" s="94"/>
      <c r="Y39" s="95" t="n">
        <f aca="false">C38-U38-V38</f>
        <v>79720</v>
      </c>
      <c r="Z39" s="49"/>
      <c r="AA39" s="65"/>
    </row>
    <row r="40" s="51" customFormat="true" ht="30.75" hidden="false" customHeight="true" outlineLevel="0" collapsed="false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49"/>
      <c r="Z40" s="49"/>
      <c r="AA40" s="3"/>
    </row>
    <row r="41" s="51" customFormat="true" ht="60" hidden="false" customHeight="true" outlineLevel="0" collapsed="false">
      <c r="A41" s="97"/>
      <c r="B41" s="97"/>
      <c r="C41" s="98"/>
      <c r="D41" s="98" t="s">
        <v>41</v>
      </c>
      <c r="E41" s="98"/>
      <c r="F41" s="98"/>
      <c r="G41" s="98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9" t="n">
        <f aca="false">R38-R39</f>
        <v>-8066500</v>
      </c>
      <c r="S41" s="97"/>
      <c r="T41" s="97"/>
      <c r="U41" s="97"/>
      <c r="V41" s="97"/>
      <c r="W41" s="97"/>
      <c r="X41" s="97"/>
      <c r="Y41" s="49"/>
      <c r="Z41" s="49"/>
      <c r="AA41" s="3"/>
    </row>
    <row r="42" customFormat="false" ht="24" hidden="false" customHeight="false" outlineLevel="0" collapsed="false">
      <c r="U42" s="1"/>
    </row>
    <row r="43" customFormat="false" ht="24" hidden="false" customHeight="false" outlineLevel="0" collapsed="false">
      <c r="U43" s="1"/>
    </row>
    <row r="44" customFormat="false" ht="24" hidden="false" customHeight="false" outlineLevel="0" collapsed="false">
      <c r="U44" s="1"/>
    </row>
    <row r="45" customFormat="false" ht="24" hidden="false" customHeight="false" outlineLevel="0" collapsed="false">
      <c r="U45" s="1"/>
    </row>
    <row r="46" customFormat="false" ht="24" hidden="false" customHeight="false" outlineLevel="0" collapsed="false">
      <c r="U46" s="1"/>
    </row>
    <row r="47" customFormat="false" ht="24" hidden="false" customHeight="false" outlineLevel="0" collapsed="false">
      <c r="U47" s="1"/>
    </row>
    <row r="48" customFormat="false" ht="24" hidden="false" customHeight="false" outlineLevel="0" collapsed="false">
      <c r="U48" s="1"/>
    </row>
    <row r="49" customFormat="false" ht="24" hidden="false" customHeight="false" outlineLevel="0" collapsed="false">
      <c r="U49" s="1"/>
    </row>
    <row r="50" customFormat="false" ht="24" hidden="false" customHeight="false" outlineLevel="0" collapsed="false">
      <c r="U50" s="1"/>
    </row>
    <row r="51" customFormat="false" ht="24" hidden="false" customHeight="false" outlineLevel="0" collapsed="false">
      <c r="U51" s="1"/>
    </row>
    <row r="52" customFormat="false" ht="24" hidden="false" customHeight="false" outlineLevel="0" collapsed="false">
      <c r="U52" s="1"/>
    </row>
    <row r="53" customFormat="false" ht="24" hidden="false" customHeight="false" outlineLevel="0" collapsed="false">
      <c r="U53" s="1"/>
    </row>
    <row r="54" customFormat="false" ht="24" hidden="false" customHeight="false" outlineLevel="0" collapsed="false">
      <c r="U54" s="1"/>
    </row>
    <row r="55" customFormat="false" ht="24" hidden="false" customHeight="false" outlineLevel="0" collapsed="false">
      <c r="U55" s="1"/>
    </row>
    <row r="56" customFormat="false" ht="24" hidden="false" customHeight="false" outlineLevel="0" collapsed="false">
      <c r="U56" s="1"/>
    </row>
    <row r="57" customFormat="false" ht="24" hidden="false" customHeight="false" outlineLevel="0" collapsed="false">
      <c r="U57" s="1"/>
    </row>
    <row r="58" customFormat="false" ht="24" hidden="false" customHeight="false" outlineLevel="0" collapsed="false">
      <c r="U58" s="1"/>
    </row>
    <row r="59" customFormat="false" ht="24" hidden="false" customHeight="false" outlineLevel="0" collapsed="false">
      <c r="U59" s="1"/>
    </row>
    <row r="60" customFormat="false" ht="24" hidden="false" customHeight="false" outlineLevel="0" collapsed="false">
      <c r="U60" s="1"/>
    </row>
    <row r="61" customFormat="false" ht="24" hidden="false" customHeight="false" outlineLevel="0" collapsed="false">
      <c r="U61" s="1"/>
    </row>
    <row r="62" customFormat="false" ht="24" hidden="false" customHeight="false" outlineLevel="0" collapsed="false">
      <c r="U62" s="1"/>
    </row>
    <row r="63" customFormat="false" ht="24" hidden="false" customHeight="false" outlineLevel="0" collapsed="false">
      <c r="U63" s="1"/>
    </row>
    <row r="64" customFormat="false" ht="24" hidden="false" customHeight="false" outlineLevel="0" collapsed="false">
      <c r="U64" s="1"/>
    </row>
    <row r="65" customFormat="false" ht="24" hidden="false" customHeight="false" outlineLevel="0" collapsed="false">
      <c r="U65" s="1"/>
    </row>
    <row r="66" customFormat="false" ht="24" hidden="false" customHeight="false" outlineLevel="0" collapsed="false">
      <c r="U66" s="1"/>
    </row>
    <row r="67" customFormat="false" ht="24" hidden="false" customHeight="false" outlineLevel="0" collapsed="false">
      <c r="U67" s="1"/>
    </row>
    <row r="68" customFormat="false" ht="24" hidden="false" customHeight="false" outlineLevel="0" collapsed="false">
      <c r="U68" s="1"/>
    </row>
    <row r="69" customFormat="false" ht="24" hidden="false" customHeight="false" outlineLevel="0" collapsed="false">
      <c r="U69" s="1"/>
    </row>
    <row r="70" customFormat="false" ht="24" hidden="false" customHeight="false" outlineLevel="0" collapsed="false">
      <c r="U70" s="1"/>
    </row>
    <row r="71" customFormat="false" ht="24" hidden="false" customHeight="false" outlineLevel="0" collapsed="false">
      <c r="U71" s="1"/>
    </row>
    <row r="72" customFormat="false" ht="24" hidden="false" customHeight="false" outlineLevel="0" collapsed="false">
      <c r="U72" s="1"/>
    </row>
    <row r="73" customFormat="false" ht="24" hidden="false" customHeight="false" outlineLevel="0" collapsed="false">
      <c r="U73" s="1"/>
    </row>
    <row r="74" customFormat="false" ht="24" hidden="false" customHeight="false" outlineLevel="0" collapsed="false">
      <c r="U74" s="1"/>
    </row>
    <row r="75" customFormat="false" ht="24" hidden="false" customHeight="false" outlineLevel="0" collapsed="false">
      <c r="U75" s="1"/>
    </row>
    <row r="76" customFormat="false" ht="24" hidden="false" customHeight="false" outlineLevel="0" collapsed="false">
      <c r="U76" s="1"/>
    </row>
    <row r="77" customFormat="false" ht="24" hidden="false" customHeight="false" outlineLevel="0" collapsed="false">
      <c r="U77" s="1"/>
    </row>
    <row r="78" customFormat="false" ht="24" hidden="false" customHeight="false" outlineLevel="0" collapsed="false">
      <c r="U78" s="1"/>
    </row>
    <row r="79" customFormat="false" ht="24" hidden="false" customHeight="false" outlineLevel="0" collapsed="false">
      <c r="U79" s="1"/>
    </row>
    <row r="80" customFormat="false" ht="24" hidden="false" customHeight="false" outlineLevel="0" collapsed="false">
      <c r="U80" s="1"/>
    </row>
    <row r="81" customFormat="false" ht="24" hidden="false" customHeight="false" outlineLevel="0" collapsed="false">
      <c r="U81" s="1"/>
    </row>
    <row r="82" customFormat="false" ht="24" hidden="false" customHeight="false" outlineLevel="0" collapsed="false">
      <c r="U82" s="1"/>
    </row>
    <row r="83" customFormat="false" ht="24" hidden="false" customHeight="false" outlineLevel="0" collapsed="false">
      <c r="U83" s="1"/>
    </row>
    <row r="84" customFormat="false" ht="24" hidden="false" customHeight="false" outlineLevel="0" collapsed="false">
      <c r="U84" s="1"/>
    </row>
    <row r="85" customFormat="false" ht="24" hidden="false" customHeight="false" outlineLevel="0" collapsed="false">
      <c r="U85" s="1"/>
    </row>
    <row r="86" customFormat="false" ht="24" hidden="false" customHeight="false" outlineLevel="0" collapsed="false">
      <c r="U86" s="1"/>
    </row>
    <row r="87" customFormat="false" ht="24" hidden="false" customHeight="false" outlineLevel="0" collapsed="false">
      <c r="U87" s="1"/>
    </row>
    <row r="88" customFormat="false" ht="24" hidden="false" customHeight="false" outlineLevel="0" collapsed="false">
      <c r="U88" s="1"/>
    </row>
    <row r="89" customFormat="false" ht="24" hidden="false" customHeight="false" outlineLevel="0" collapsed="false">
      <c r="U89" s="1"/>
    </row>
    <row r="90" customFormat="false" ht="24" hidden="false" customHeight="false" outlineLevel="0" collapsed="false">
      <c r="U90" s="1"/>
    </row>
    <row r="91" customFormat="false" ht="24" hidden="false" customHeight="false" outlineLevel="0" collapsed="false">
      <c r="U91" s="1"/>
    </row>
    <row r="92" customFormat="false" ht="24" hidden="false" customHeight="false" outlineLevel="0" collapsed="false">
      <c r="U92" s="1"/>
    </row>
    <row r="93" customFormat="false" ht="24" hidden="false" customHeight="false" outlineLevel="0" collapsed="false">
      <c r="U93" s="1"/>
    </row>
    <row r="94" customFormat="false" ht="24" hidden="false" customHeight="false" outlineLevel="0" collapsed="false">
      <c r="U94" s="1"/>
    </row>
    <row r="95" customFormat="false" ht="24" hidden="false" customHeight="false" outlineLevel="0" collapsed="false">
      <c r="U95" s="1"/>
    </row>
    <row r="96" customFormat="false" ht="24" hidden="false" customHeight="false" outlineLevel="0" collapsed="false">
      <c r="U96" s="1"/>
    </row>
    <row r="97" customFormat="false" ht="24" hidden="false" customHeight="false" outlineLevel="0" collapsed="false">
      <c r="U97" s="1"/>
    </row>
    <row r="98" customFormat="false" ht="24" hidden="false" customHeight="false" outlineLevel="0" collapsed="false">
      <c r="U98" s="1"/>
    </row>
    <row r="99" customFormat="false" ht="24" hidden="false" customHeight="false" outlineLevel="0" collapsed="false">
      <c r="U99" s="1"/>
    </row>
    <row r="100" customFormat="false" ht="24" hidden="false" customHeight="false" outlineLevel="0" collapsed="false">
      <c r="U100" s="1"/>
    </row>
    <row r="101" customFormat="false" ht="24" hidden="false" customHeight="false" outlineLevel="0" collapsed="false">
      <c r="U101" s="1"/>
    </row>
    <row r="102" customFormat="false" ht="24" hidden="false" customHeight="false" outlineLevel="0" collapsed="false">
      <c r="U102" s="1"/>
    </row>
    <row r="103" customFormat="false" ht="24" hidden="false" customHeight="false" outlineLevel="0" collapsed="false">
      <c r="U103" s="1"/>
    </row>
    <row r="104" customFormat="false" ht="24" hidden="false" customHeight="false" outlineLevel="0" collapsed="false">
      <c r="U104" s="1"/>
    </row>
    <row r="105" customFormat="false" ht="24" hidden="false" customHeight="false" outlineLevel="0" collapsed="false">
      <c r="U105" s="1"/>
    </row>
    <row r="106" customFormat="false" ht="24" hidden="false" customHeight="false" outlineLevel="0" collapsed="false">
      <c r="U106" s="1"/>
    </row>
    <row r="107" customFormat="false" ht="24" hidden="false" customHeight="false" outlineLevel="0" collapsed="false">
      <c r="U107" s="1"/>
    </row>
    <row r="108" customFormat="false" ht="24" hidden="false" customHeight="false" outlineLevel="0" collapsed="false">
      <c r="U108" s="1"/>
    </row>
    <row r="109" customFormat="false" ht="24" hidden="false" customHeight="false" outlineLevel="0" collapsed="false">
      <c r="U109" s="1"/>
    </row>
    <row r="110" customFormat="false" ht="24" hidden="false" customHeight="false" outlineLevel="0" collapsed="false">
      <c r="U110" s="1"/>
    </row>
    <row r="111" customFormat="false" ht="24" hidden="false" customHeight="false" outlineLevel="0" collapsed="false">
      <c r="U111" s="1"/>
    </row>
    <row r="112" customFormat="false" ht="24" hidden="false" customHeight="false" outlineLevel="0" collapsed="false">
      <c r="U112" s="1"/>
    </row>
    <row r="113" customFormat="false" ht="24" hidden="false" customHeight="false" outlineLevel="0" collapsed="false">
      <c r="U113" s="1"/>
    </row>
    <row r="114" customFormat="false" ht="24" hidden="false" customHeight="false" outlineLevel="0" collapsed="false">
      <c r="U114" s="1"/>
    </row>
    <row r="115" customFormat="false" ht="24" hidden="false" customHeight="false" outlineLevel="0" collapsed="false">
      <c r="U115" s="1"/>
    </row>
    <row r="116" customFormat="false" ht="24" hidden="false" customHeight="false" outlineLevel="0" collapsed="false">
      <c r="U116" s="1"/>
    </row>
    <row r="117" customFormat="false" ht="24" hidden="false" customHeight="false" outlineLevel="0" collapsed="false">
      <c r="U117" s="1"/>
    </row>
    <row r="118" customFormat="false" ht="24" hidden="false" customHeight="false" outlineLevel="0" collapsed="false">
      <c r="U118" s="1"/>
    </row>
    <row r="119" customFormat="false" ht="24" hidden="false" customHeight="false" outlineLevel="0" collapsed="false">
      <c r="U119" s="1"/>
    </row>
    <row r="120" customFormat="false" ht="24" hidden="false" customHeight="false" outlineLevel="0" collapsed="false">
      <c r="U120" s="1"/>
    </row>
    <row r="121" customFormat="false" ht="24" hidden="false" customHeight="false" outlineLevel="0" collapsed="false">
      <c r="U121" s="1"/>
    </row>
    <row r="122" customFormat="false" ht="24" hidden="false" customHeight="false" outlineLevel="0" collapsed="false">
      <c r="U122" s="1"/>
    </row>
    <row r="123" customFormat="false" ht="24" hidden="false" customHeight="false" outlineLevel="0" collapsed="false">
      <c r="U123" s="1"/>
    </row>
    <row r="124" customFormat="false" ht="24" hidden="false" customHeight="false" outlineLevel="0" collapsed="false">
      <c r="U124" s="1"/>
    </row>
    <row r="125" customFormat="false" ht="24" hidden="false" customHeight="false" outlineLevel="0" collapsed="false">
      <c r="U125" s="1"/>
    </row>
    <row r="126" customFormat="false" ht="24" hidden="false" customHeight="false" outlineLevel="0" collapsed="false">
      <c r="U126" s="1"/>
    </row>
    <row r="127" customFormat="false" ht="24" hidden="false" customHeight="false" outlineLevel="0" collapsed="false">
      <c r="U127" s="1"/>
    </row>
    <row r="128" customFormat="false" ht="24" hidden="false" customHeight="false" outlineLevel="0" collapsed="false">
      <c r="U128" s="1"/>
    </row>
    <row r="129" customFormat="false" ht="24" hidden="false" customHeight="false" outlineLevel="0" collapsed="false">
      <c r="U129" s="1"/>
    </row>
    <row r="130" customFormat="false" ht="24" hidden="false" customHeight="false" outlineLevel="0" collapsed="false">
      <c r="U130" s="1"/>
    </row>
    <row r="131" customFormat="false" ht="24" hidden="false" customHeight="false" outlineLevel="0" collapsed="false">
      <c r="U131" s="1"/>
    </row>
    <row r="132" customFormat="false" ht="24" hidden="false" customHeight="false" outlineLevel="0" collapsed="false">
      <c r="U132" s="1"/>
    </row>
    <row r="133" customFormat="false" ht="24" hidden="false" customHeight="false" outlineLevel="0" collapsed="false">
      <c r="U133" s="1"/>
    </row>
    <row r="134" customFormat="false" ht="24" hidden="false" customHeight="false" outlineLevel="0" collapsed="false">
      <c r="U134" s="1"/>
    </row>
    <row r="135" customFormat="false" ht="24" hidden="false" customHeight="false" outlineLevel="0" collapsed="false">
      <c r="U135" s="1"/>
    </row>
    <row r="136" customFormat="false" ht="24" hidden="false" customHeight="false" outlineLevel="0" collapsed="false">
      <c r="U136" s="1"/>
    </row>
    <row r="137" customFormat="false" ht="24" hidden="false" customHeight="false" outlineLevel="0" collapsed="false">
      <c r="U137" s="1"/>
    </row>
    <row r="138" customFormat="false" ht="24" hidden="false" customHeight="false" outlineLevel="0" collapsed="false">
      <c r="U138" s="1"/>
    </row>
    <row r="139" customFormat="false" ht="24" hidden="false" customHeight="false" outlineLevel="0" collapsed="false">
      <c r="U139" s="1"/>
    </row>
    <row r="140" customFormat="false" ht="24" hidden="false" customHeight="false" outlineLevel="0" collapsed="false">
      <c r="U140" s="1"/>
    </row>
    <row r="141" customFormat="false" ht="24" hidden="false" customHeight="false" outlineLevel="0" collapsed="false">
      <c r="U141" s="1"/>
    </row>
    <row r="142" customFormat="false" ht="24" hidden="false" customHeight="false" outlineLevel="0" collapsed="false">
      <c r="U142" s="1"/>
    </row>
    <row r="143" customFormat="false" ht="24" hidden="false" customHeight="false" outlineLevel="0" collapsed="false">
      <c r="U143" s="1"/>
    </row>
    <row r="144" customFormat="false" ht="24" hidden="false" customHeight="false" outlineLevel="0" collapsed="false">
      <c r="U144" s="1"/>
    </row>
    <row r="145" customFormat="false" ht="24" hidden="false" customHeight="false" outlineLevel="0" collapsed="false">
      <c r="U145" s="1"/>
    </row>
    <row r="146" customFormat="false" ht="24" hidden="false" customHeight="false" outlineLevel="0" collapsed="false">
      <c r="U146" s="1"/>
    </row>
    <row r="147" customFormat="false" ht="24" hidden="false" customHeight="false" outlineLevel="0" collapsed="false">
      <c r="U147" s="1"/>
    </row>
    <row r="148" customFormat="false" ht="24" hidden="false" customHeight="false" outlineLevel="0" collapsed="false">
      <c r="U148" s="1"/>
    </row>
    <row r="149" customFormat="false" ht="24" hidden="false" customHeight="false" outlineLevel="0" collapsed="false">
      <c r="U149" s="1"/>
    </row>
    <row r="150" customFormat="false" ht="24" hidden="false" customHeight="false" outlineLevel="0" collapsed="false">
      <c r="U150" s="1"/>
    </row>
    <row r="151" customFormat="false" ht="24" hidden="false" customHeight="false" outlineLevel="0" collapsed="false">
      <c r="U151" s="1"/>
    </row>
    <row r="152" customFormat="false" ht="24" hidden="false" customHeight="false" outlineLevel="0" collapsed="false">
      <c r="U152" s="1"/>
    </row>
    <row r="153" customFormat="false" ht="24" hidden="false" customHeight="false" outlineLevel="0" collapsed="false">
      <c r="U153" s="1"/>
    </row>
    <row r="154" customFormat="false" ht="24" hidden="false" customHeight="false" outlineLevel="0" collapsed="false">
      <c r="U154" s="1"/>
    </row>
    <row r="155" customFormat="false" ht="24" hidden="false" customHeight="false" outlineLevel="0" collapsed="false">
      <c r="U155" s="1"/>
    </row>
    <row r="156" customFormat="false" ht="24" hidden="false" customHeight="false" outlineLevel="0" collapsed="false">
      <c r="U156" s="1"/>
    </row>
    <row r="157" customFormat="false" ht="24" hidden="false" customHeight="false" outlineLevel="0" collapsed="false">
      <c r="U157" s="1"/>
    </row>
    <row r="158" customFormat="false" ht="24" hidden="false" customHeight="false" outlineLevel="0" collapsed="false">
      <c r="U158" s="1"/>
    </row>
    <row r="159" customFormat="false" ht="24" hidden="false" customHeight="false" outlineLevel="0" collapsed="false">
      <c r="U159" s="1"/>
    </row>
    <row r="160" customFormat="false" ht="24" hidden="false" customHeight="false" outlineLevel="0" collapsed="false">
      <c r="U160" s="1"/>
    </row>
    <row r="161" customFormat="false" ht="24" hidden="false" customHeight="false" outlineLevel="0" collapsed="false">
      <c r="U161" s="1"/>
    </row>
    <row r="162" customFormat="false" ht="24" hidden="false" customHeight="false" outlineLevel="0" collapsed="false">
      <c r="U162" s="1"/>
    </row>
    <row r="163" customFormat="false" ht="24" hidden="false" customHeight="false" outlineLevel="0" collapsed="false">
      <c r="U163" s="1"/>
    </row>
    <row r="164" customFormat="false" ht="24" hidden="false" customHeight="false" outlineLevel="0" collapsed="false">
      <c r="U164" s="1"/>
    </row>
    <row r="165" customFormat="false" ht="24" hidden="false" customHeight="false" outlineLevel="0" collapsed="false">
      <c r="U165" s="1"/>
    </row>
    <row r="166" customFormat="false" ht="24" hidden="false" customHeight="false" outlineLevel="0" collapsed="false">
      <c r="U166" s="1"/>
    </row>
    <row r="167" customFormat="false" ht="24" hidden="false" customHeight="false" outlineLevel="0" collapsed="false">
      <c r="U167" s="1"/>
    </row>
    <row r="168" customFormat="false" ht="24" hidden="false" customHeight="false" outlineLevel="0" collapsed="false">
      <c r="U168" s="1"/>
    </row>
    <row r="169" customFormat="false" ht="24" hidden="false" customHeight="false" outlineLevel="0" collapsed="false">
      <c r="U169" s="1"/>
    </row>
    <row r="170" customFormat="false" ht="24" hidden="false" customHeight="false" outlineLevel="0" collapsed="false">
      <c r="U170" s="1"/>
    </row>
    <row r="171" customFormat="false" ht="24" hidden="false" customHeight="false" outlineLevel="0" collapsed="false">
      <c r="U171" s="1"/>
    </row>
    <row r="172" customFormat="false" ht="24" hidden="false" customHeight="false" outlineLevel="0" collapsed="false">
      <c r="U172" s="1"/>
    </row>
    <row r="173" customFormat="false" ht="24" hidden="false" customHeight="false" outlineLevel="0" collapsed="false">
      <c r="U173" s="1"/>
    </row>
    <row r="174" customFormat="false" ht="24" hidden="false" customHeight="false" outlineLevel="0" collapsed="false">
      <c r="U174" s="1"/>
    </row>
    <row r="175" customFormat="false" ht="24" hidden="false" customHeight="false" outlineLevel="0" collapsed="false">
      <c r="U175" s="1"/>
    </row>
    <row r="176" customFormat="false" ht="24" hidden="false" customHeight="false" outlineLevel="0" collapsed="false">
      <c r="U176" s="1"/>
    </row>
    <row r="177" customFormat="false" ht="24" hidden="false" customHeight="false" outlineLevel="0" collapsed="false">
      <c r="U177" s="1"/>
    </row>
    <row r="178" customFormat="false" ht="24" hidden="false" customHeight="false" outlineLevel="0" collapsed="false">
      <c r="U178" s="1"/>
    </row>
    <row r="179" customFormat="false" ht="24" hidden="false" customHeight="false" outlineLevel="0" collapsed="false">
      <c r="U179" s="1"/>
    </row>
    <row r="180" customFormat="false" ht="24" hidden="false" customHeight="false" outlineLevel="0" collapsed="false">
      <c r="U180" s="1"/>
    </row>
    <row r="181" customFormat="false" ht="24" hidden="false" customHeight="false" outlineLevel="0" collapsed="false">
      <c r="U181" s="1"/>
    </row>
    <row r="182" customFormat="false" ht="24" hidden="false" customHeight="false" outlineLevel="0" collapsed="false">
      <c r="U182" s="1"/>
    </row>
    <row r="183" customFormat="false" ht="24" hidden="false" customHeight="false" outlineLevel="0" collapsed="false">
      <c r="U183" s="1"/>
    </row>
    <row r="184" customFormat="false" ht="24" hidden="false" customHeight="false" outlineLevel="0" collapsed="false">
      <c r="U184" s="1"/>
    </row>
    <row r="185" customFormat="false" ht="24" hidden="false" customHeight="false" outlineLevel="0" collapsed="false">
      <c r="U185" s="1"/>
    </row>
    <row r="186" customFormat="false" ht="24" hidden="false" customHeight="false" outlineLevel="0" collapsed="false">
      <c r="U186" s="1"/>
    </row>
    <row r="187" customFormat="false" ht="24" hidden="false" customHeight="false" outlineLevel="0" collapsed="false">
      <c r="U187" s="1"/>
    </row>
    <row r="188" customFormat="false" ht="24" hidden="false" customHeight="false" outlineLevel="0" collapsed="false">
      <c r="U188" s="1"/>
    </row>
    <row r="189" customFormat="false" ht="24" hidden="false" customHeight="false" outlineLevel="0" collapsed="false">
      <c r="U189" s="1"/>
    </row>
    <row r="190" customFormat="false" ht="24" hidden="false" customHeight="false" outlineLevel="0" collapsed="false">
      <c r="U190" s="1"/>
    </row>
    <row r="191" customFormat="false" ht="24" hidden="false" customHeight="false" outlineLevel="0" collapsed="false">
      <c r="U191" s="1"/>
    </row>
    <row r="192" customFormat="false" ht="24" hidden="false" customHeight="false" outlineLevel="0" collapsed="false">
      <c r="U192" s="1"/>
    </row>
    <row r="193" customFormat="false" ht="24" hidden="false" customHeight="false" outlineLevel="0" collapsed="false">
      <c r="U193" s="1"/>
    </row>
    <row r="194" customFormat="false" ht="24" hidden="false" customHeight="false" outlineLevel="0" collapsed="false">
      <c r="U194" s="1"/>
    </row>
    <row r="195" customFormat="false" ht="24" hidden="false" customHeight="false" outlineLevel="0" collapsed="false">
      <c r="U195" s="1"/>
    </row>
    <row r="196" customFormat="false" ht="24" hidden="false" customHeight="false" outlineLevel="0" collapsed="false">
      <c r="U196" s="1"/>
    </row>
    <row r="197" customFormat="false" ht="24" hidden="false" customHeight="false" outlineLevel="0" collapsed="false">
      <c r="U197" s="1"/>
    </row>
    <row r="198" customFormat="false" ht="24" hidden="false" customHeight="false" outlineLevel="0" collapsed="false">
      <c r="U198" s="1"/>
    </row>
    <row r="199" customFormat="false" ht="24" hidden="false" customHeight="false" outlineLevel="0" collapsed="false">
      <c r="U199" s="1"/>
    </row>
    <row r="200" customFormat="false" ht="24" hidden="false" customHeight="false" outlineLevel="0" collapsed="false">
      <c r="U200" s="1"/>
    </row>
    <row r="201" customFormat="false" ht="24" hidden="false" customHeight="false" outlineLevel="0" collapsed="false">
      <c r="U201" s="1"/>
    </row>
    <row r="202" customFormat="false" ht="24" hidden="false" customHeight="false" outlineLevel="0" collapsed="false">
      <c r="U202" s="1"/>
    </row>
    <row r="203" customFormat="false" ht="24" hidden="false" customHeight="false" outlineLevel="0" collapsed="false">
      <c r="U203" s="1"/>
    </row>
    <row r="204" customFormat="false" ht="24" hidden="false" customHeight="false" outlineLevel="0" collapsed="false">
      <c r="U204" s="1"/>
    </row>
    <row r="205" customFormat="false" ht="24" hidden="false" customHeight="false" outlineLevel="0" collapsed="false">
      <c r="U205" s="1"/>
    </row>
    <row r="206" customFormat="false" ht="24" hidden="false" customHeight="false" outlineLevel="0" collapsed="false">
      <c r="U206" s="1"/>
    </row>
    <row r="207" customFormat="false" ht="24" hidden="false" customHeight="false" outlineLevel="0" collapsed="false">
      <c r="U207" s="1"/>
    </row>
    <row r="208" customFormat="false" ht="24" hidden="false" customHeight="false" outlineLevel="0" collapsed="false">
      <c r="U208" s="1"/>
    </row>
    <row r="209" customFormat="false" ht="24" hidden="false" customHeight="false" outlineLevel="0" collapsed="false">
      <c r="U209" s="1"/>
    </row>
    <row r="210" customFormat="false" ht="24" hidden="false" customHeight="false" outlineLevel="0" collapsed="false">
      <c r="U210" s="1"/>
    </row>
    <row r="211" customFormat="false" ht="24" hidden="false" customHeight="false" outlineLevel="0" collapsed="false">
      <c r="U211" s="1"/>
    </row>
    <row r="212" customFormat="false" ht="24" hidden="false" customHeight="false" outlineLevel="0" collapsed="false">
      <c r="U212" s="1"/>
    </row>
    <row r="213" customFormat="false" ht="24" hidden="false" customHeight="false" outlineLevel="0" collapsed="false">
      <c r="U213" s="1"/>
    </row>
    <row r="214" customFormat="false" ht="24" hidden="false" customHeight="false" outlineLevel="0" collapsed="false">
      <c r="U214" s="1"/>
    </row>
    <row r="215" customFormat="false" ht="24" hidden="false" customHeight="false" outlineLevel="0" collapsed="false">
      <c r="U215" s="1"/>
    </row>
    <row r="216" customFormat="false" ht="24" hidden="false" customHeight="false" outlineLevel="0" collapsed="false">
      <c r="U216" s="1"/>
    </row>
    <row r="217" customFormat="false" ht="24" hidden="false" customHeight="false" outlineLevel="0" collapsed="false">
      <c r="U217" s="1"/>
    </row>
    <row r="218" customFormat="false" ht="24" hidden="false" customHeight="false" outlineLevel="0" collapsed="false">
      <c r="U218" s="1"/>
    </row>
    <row r="219" customFormat="false" ht="24" hidden="false" customHeight="false" outlineLevel="0" collapsed="false">
      <c r="U219" s="1"/>
    </row>
    <row r="220" customFormat="false" ht="24" hidden="false" customHeight="false" outlineLevel="0" collapsed="false">
      <c r="U220" s="1"/>
    </row>
    <row r="221" customFormat="false" ht="24" hidden="false" customHeight="false" outlineLevel="0" collapsed="false">
      <c r="U221" s="1"/>
    </row>
    <row r="222" customFormat="false" ht="24" hidden="false" customHeight="false" outlineLevel="0" collapsed="false">
      <c r="U222" s="1"/>
    </row>
    <row r="223" customFormat="false" ht="24" hidden="false" customHeight="false" outlineLevel="0" collapsed="false">
      <c r="U223" s="1"/>
    </row>
    <row r="224" customFormat="false" ht="24" hidden="false" customHeight="false" outlineLevel="0" collapsed="false">
      <c r="U224" s="1"/>
    </row>
    <row r="225" customFormat="false" ht="24" hidden="false" customHeight="false" outlineLevel="0" collapsed="false">
      <c r="U225" s="1"/>
    </row>
    <row r="226" customFormat="false" ht="24" hidden="false" customHeight="false" outlineLevel="0" collapsed="false">
      <c r="U226" s="1"/>
    </row>
    <row r="227" customFormat="false" ht="24" hidden="false" customHeight="false" outlineLevel="0" collapsed="false">
      <c r="U227" s="1"/>
    </row>
    <row r="228" customFormat="false" ht="24" hidden="false" customHeight="false" outlineLevel="0" collapsed="false">
      <c r="U228" s="1"/>
    </row>
    <row r="229" customFormat="false" ht="24" hidden="false" customHeight="false" outlineLevel="0" collapsed="false">
      <c r="U229" s="1"/>
    </row>
    <row r="230" customFormat="false" ht="24" hidden="false" customHeight="false" outlineLevel="0" collapsed="false">
      <c r="U230" s="1"/>
    </row>
    <row r="231" customFormat="false" ht="24" hidden="false" customHeight="false" outlineLevel="0" collapsed="false">
      <c r="U231" s="1"/>
    </row>
    <row r="232" customFormat="false" ht="24" hidden="false" customHeight="false" outlineLevel="0" collapsed="false">
      <c r="U232" s="1"/>
    </row>
    <row r="233" customFormat="false" ht="24" hidden="false" customHeight="false" outlineLevel="0" collapsed="false">
      <c r="U233" s="1"/>
    </row>
    <row r="234" customFormat="false" ht="24" hidden="false" customHeight="false" outlineLevel="0" collapsed="false">
      <c r="U234" s="1"/>
    </row>
    <row r="235" customFormat="false" ht="24" hidden="false" customHeight="false" outlineLevel="0" collapsed="false">
      <c r="U235" s="1"/>
    </row>
    <row r="236" customFormat="false" ht="24" hidden="false" customHeight="false" outlineLevel="0" collapsed="false">
      <c r="U236" s="1"/>
    </row>
    <row r="237" customFormat="false" ht="24" hidden="false" customHeight="false" outlineLevel="0" collapsed="false">
      <c r="U237" s="1"/>
    </row>
    <row r="238" customFormat="false" ht="24" hidden="false" customHeight="false" outlineLevel="0" collapsed="false">
      <c r="U238" s="1"/>
    </row>
    <row r="239" customFormat="false" ht="24" hidden="false" customHeight="false" outlineLevel="0" collapsed="false">
      <c r="U239" s="1"/>
    </row>
    <row r="240" customFormat="false" ht="24" hidden="false" customHeight="false" outlineLevel="0" collapsed="false">
      <c r="U240" s="1"/>
    </row>
    <row r="241" customFormat="false" ht="24" hidden="false" customHeight="false" outlineLevel="0" collapsed="false">
      <c r="U241" s="1"/>
    </row>
    <row r="242" customFormat="false" ht="24" hidden="false" customHeight="false" outlineLevel="0" collapsed="false">
      <c r="U242" s="1"/>
    </row>
    <row r="243" customFormat="false" ht="24" hidden="false" customHeight="false" outlineLevel="0" collapsed="false">
      <c r="U243" s="1"/>
    </row>
    <row r="244" customFormat="false" ht="24" hidden="false" customHeight="false" outlineLevel="0" collapsed="false">
      <c r="U244" s="1"/>
    </row>
    <row r="245" customFormat="false" ht="24" hidden="false" customHeight="false" outlineLevel="0" collapsed="false">
      <c r="U245" s="1"/>
    </row>
  </sheetData>
  <mergeCells count="15">
    <mergeCell ref="C2:V2"/>
    <mergeCell ref="H3:S3"/>
    <mergeCell ref="U3:X3"/>
    <mergeCell ref="A4:A5"/>
    <mergeCell ref="B4:C4"/>
    <mergeCell ref="D4:E4"/>
    <mergeCell ref="F4:G4"/>
    <mergeCell ref="H4:I4"/>
    <mergeCell ref="J4:K4"/>
    <mergeCell ref="L4:M4"/>
    <mergeCell ref="N4:N5"/>
    <mergeCell ref="O4:P4"/>
    <mergeCell ref="Q4:R4"/>
    <mergeCell ref="AC6:AC7"/>
    <mergeCell ref="U39:V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46"/>
  <sheetViews>
    <sheetView showFormulas="false" showGridLines="true" showRowColHeaders="true" showZeros="true" rightToLeft="false" tabSelected="false" showOutlineSymbols="true" defaultGridColor="true" view="normal" topLeftCell="A1" colorId="64" zoomScale="34" zoomScaleNormal="34" zoomScalePageLayoutView="27" workbookViewId="0">
      <pane xSplit="1" ySplit="5" topLeftCell="K20" activePane="bottomRight" state="frozen"/>
      <selection pane="topLeft" activeCell="A1" activeCellId="0" sqref="A1"/>
      <selection pane="topRight" activeCell="K1" activeCellId="0" sqref="K1"/>
      <selection pane="bottomLeft" activeCell="A20" activeCellId="0" sqref="A20"/>
      <selection pane="bottomRight" activeCell="K13" activeCellId="0" sqref="K13"/>
    </sheetView>
  </sheetViews>
  <sheetFormatPr defaultColWidth="8.71484375" defaultRowHeight="24" zeroHeight="false" outlineLevelRow="0" outlineLevelCol="0"/>
  <cols>
    <col collapsed="false" customWidth="true" hidden="false" outlineLevel="0" max="2" min="1" style="1" width="51.86"/>
    <col collapsed="false" customWidth="true" hidden="false" outlineLevel="0" max="3" min="3" style="1" width="41.43"/>
    <col collapsed="false" customWidth="true" hidden="false" outlineLevel="0" max="9" min="4" style="1" width="39.86"/>
    <col collapsed="false" customWidth="true" hidden="false" outlineLevel="0" max="11" min="10" style="1" width="38.43"/>
    <col collapsed="false" customWidth="true" hidden="false" outlineLevel="0" max="15" min="12" style="1" width="33.86"/>
    <col collapsed="false" customWidth="true" hidden="false" outlineLevel="0" max="17" min="16" style="1" width="40.14"/>
    <col collapsed="false" customWidth="true" hidden="false" outlineLevel="0" max="18" min="18" style="1" width="50.57"/>
    <col collapsed="false" customWidth="true" hidden="false" outlineLevel="0" max="19" min="19" style="1" width="39.86"/>
    <col collapsed="false" customWidth="true" hidden="false" outlineLevel="0" max="20" min="20" style="1" width="7.86"/>
    <col collapsed="false" customWidth="true" hidden="false" outlineLevel="0" max="21" min="21" style="1" width="47.43"/>
    <col collapsed="false" customWidth="true" hidden="false" outlineLevel="0" max="22" min="22" style="1" width="47.86"/>
    <col collapsed="false" customWidth="true" hidden="false" outlineLevel="0" max="23" min="23" style="1" width="28.86"/>
    <col collapsed="false" customWidth="true" hidden="false" outlineLevel="0" max="24" min="24" style="1" width="55.43"/>
    <col collapsed="false" customWidth="true" hidden="false" outlineLevel="0" max="25" min="25" style="2" width="27.86"/>
    <col collapsed="false" customWidth="true" hidden="false" outlineLevel="0" max="26" min="26" style="2" width="9.14"/>
    <col collapsed="false" customWidth="true" hidden="false" outlineLevel="0" max="27" min="27" style="3" width="37"/>
    <col collapsed="false" customWidth="false" hidden="false" outlineLevel="0" max="28" min="28" style="4" width="8.71"/>
    <col collapsed="false" customWidth="true" hidden="false" outlineLevel="0" max="29" min="29" style="4" width="109.43"/>
    <col collapsed="false" customWidth="true" hidden="false" outlineLevel="0" max="30" min="30" style="4" width="19.86"/>
    <col collapsed="false" customWidth="false" hidden="false" outlineLevel="0" max="16384" min="31" style="4" width="8.71"/>
  </cols>
  <sheetData>
    <row r="1" customFormat="false" ht="24" hidden="false" customHeight="true" outlineLevel="0" collapsed="false">
      <c r="U1" s="100"/>
    </row>
    <row r="2" s="11" customFormat="true" ht="105" hidden="false" customHeight="true" outlineLevel="0" collapsed="false">
      <c r="A2" s="5"/>
      <c r="B2" s="5"/>
      <c r="C2" s="6" t="s">
        <v>57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  <c r="X2" s="8"/>
      <c r="Y2" s="9"/>
      <c r="Z2" s="9"/>
      <c r="AA2" s="10"/>
    </row>
    <row r="3" s="11" customFormat="true" ht="62.25" hidden="false" customHeight="true" outlineLevel="0" collapsed="false">
      <c r="A3" s="5"/>
      <c r="B3" s="5"/>
      <c r="C3" s="12"/>
      <c r="D3" s="12"/>
      <c r="E3" s="12"/>
      <c r="F3" s="13"/>
      <c r="G3" s="13"/>
      <c r="H3" s="14" t="n">
        <v>46082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2"/>
      <c r="U3" s="15" t="s">
        <v>1</v>
      </c>
      <c r="V3" s="15"/>
      <c r="W3" s="15"/>
      <c r="X3" s="15"/>
      <c r="Y3" s="9"/>
      <c r="Z3" s="9"/>
      <c r="AA3" s="10"/>
    </row>
    <row r="4" s="29" customFormat="true" ht="93.75" hidden="false" customHeight="true" outlineLevel="0" collapsed="false">
      <c r="A4" s="16" t="s">
        <v>2</v>
      </c>
      <c r="B4" s="17" t="s">
        <v>3</v>
      </c>
      <c r="C4" s="17"/>
      <c r="D4" s="17" t="s">
        <v>4</v>
      </c>
      <c r="E4" s="17"/>
      <c r="F4" s="17" t="s">
        <v>5</v>
      </c>
      <c r="G4" s="17"/>
      <c r="H4" s="17" t="s">
        <v>6</v>
      </c>
      <c r="I4" s="17"/>
      <c r="J4" s="18" t="s">
        <v>7</v>
      </c>
      <c r="K4" s="18"/>
      <c r="L4" s="18" t="s">
        <v>8</v>
      </c>
      <c r="M4" s="18"/>
      <c r="N4" s="19" t="s">
        <v>9</v>
      </c>
      <c r="O4" s="20" t="s">
        <v>10</v>
      </c>
      <c r="P4" s="20"/>
      <c r="Q4" s="21" t="s">
        <v>11</v>
      </c>
      <c r="R4" s="21"/>
      <c r="S4" s="22" t="s">
        <v>12</v>
      </c>
      <c r="T4" s="17"/>
      <c r="U4" s="23" t="s">
        <v>43</v>
      </c>
      <c r="V4" s="24" t="s">
        <v>14</v>
      </c>
      <c r="W4" s="25" t="s">
        <v>15</v>
      </c>
      <c r="X4" s="26" t="s">
        <v>16</v>
      </c>
      <c r="Y4" s="27"/>
      <c r="Z4" s="27"/>
      <c r="AA4" s="28" t="s">
        <v>17</v>
      </c>
    </row>
    <row r="5" s="29" customFormat="true" ht="93.75" hidden="false" customHeight="true" outlineLevel="0" collapsed="false">
      <c r="A5" s="16"/>
      <c r="B5" s="30" t="s">
        <v>18</v>
      </c>
      <c r="C5" s="31" t="s">
        <v>19</v>
      </c>
      <c r="D5" s="30" t="s">
        <v>18</v>
      </c>
      <c r="E5" s="31" t="s">
        <v>19</v>
      </c>
      <c r="F5" s="30" t="s">
        <v>18</v>
      </c>
      <c r="G5" s="31" t="s">
        <v>19</v>
      </c>
      <c r="H5" s="30" t="s">
        <v>18</v>
      </c>
      <c r="I5" s="31" t="s">
        <v>19</v>
      </c>
      <c r="J5" s="30" t="s">
        <v>18</v>
      </c>
      <c r="K5" s="31" t="s">
        <v>19</v>
      </c>
      <c r="L5" s="30" t="s">
        <v>18</v>
      </c>
      <c r="M5" s="31" t="s">
        <v>19</v>
      </c>
      <c r="N5" s="19"/>
      <c r="O5" s="32" t="s">
        <v>20</v>
      </c>
      <c r="P5" s="33" t="s">
        <v>19</v>
      </c>
      <c r="Q5" s="34" t="s">
        <v>21</v>
      </c>
      <c r="R5" s="35" t="s">
        <v>22</v>
      </c>
      <c r="S5" s="30"/>
      <c r="T5" s="31"/>
      <c r="U5" s="36"/>
      <c r="V5" s="37"/>
      <c r="W5" s="38"/>
      <c r="X5" s="39"/>
      <c r="Y5" s="27"/>
      <c r="Z5" s="27"/>
      <c r="AA5" s="28"/>
    </row>
    <row r="6" s="51" customFormat="true" ht="51.75" hidden="false" customHeight="true" outlineLevel="0" collapsed="false">
      <c r="A6" s="40" t="s">
        <v>23</v>
      </c>
      <c r="B6" s="41"/>
      <c r="C6" s="42" t="n">
        <v>40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 t="s">
        <v>24</v>
      </c>
      <c r="Q6" s="44"/>
      <c r="R6" s="45"/>
      <c r="S6" s="46"/>
      <c r="T6" s="46"/>
      <c r="U6" s="43"/>
      <c r="V6" s="43"/>
      <c r="W6" s="47"/>
      <c r="X6" s="48"/>
      <c r="Y6" s="49"/>
      <c r="Z6" s="49"/>
      <c r="AA6" s="50" t="n">
        <f aca="false">C6</f>
        <v>40</v>
      </c>
      <c r="AC6" s="52" t="s">
        <v>25</v>
      </c>
    </row>
    <row r="7" s="51" customFormat="true" ht="60" hidden="false" customHeight="true" outlineLevel="0" collapsed="false">
      <c r="A7" s="53" t="n">
        <v>46082</v>
      </c>
      <c r="B7" s="54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6"/>
      <c r="Q7" s="57"/>
      <c r="R7" s="57"/>
      <c r="S7" s="59"/>
      <c r="T7" s="60"/>
      <c r="U7" s="61"/>
      <c r="V7" s="62"/>
      <c r="W7" s="63"/>
      <c r="X7" s="64"/>
      <c r="Y7" s="49"/>
      <c r="Z7" s="49"/>
      <c r="AA7" s="65"/>
      <c r="AC7" s="52"/>
      <c r="AD7" s="66"/>
    </row>
    <row r="8" s="51" customFormat="true" ht="60" hidden="false" customHeight="true" outlineLevel="0" collapsed="false">
      <c r="A8" s="53" t="n">
        <v>46083</v>
      </c>
      <c r="B8" s="54"/>
      <c r="C8" s="67"/>
      <c r="D8" s="67"/>
      <c r="E8" s="55"/>
      <c r="F8" s="67"/>
      <c r="G8" s="67"/>
      <c r="H8" s="67"/>
      <c r="I8" s="55"/>
      <c r="J8" s="55"/>
      <c r="K8" s="55"/>
      <c r="L8" s="55"/>
      <c r="M8" s="55"/>
      <c r="N8" s="55"/>
      <c r="O8" s="55"/>
      <c r="P8" s="56"/>
      <c r="Q8" s="57" t="n">
        <f aca="false">SUM(B8,D8,F8,H8,J8,L8)</f>
        <v>0</v>
      </c>
      <c r="R8" s="57" t="n">
        <f aca="false">SUM(C8,E8,G8,I8,K8,M8)</f>
        <v>0</v>
      </c>
      <c r="S8" s="69"/>
      <c r="T8" s="70"/>
      <c r="U8" s="71"/>
      <c r="V8" s="72"/>
      <c r="W8" s="73"/>
      <c r="X8" s="64"/>
      <c r="Y8" s="49"/>
      <c r="Z8" s="49"/>
      <c r="AA8" s="65"/>
    </row>
    <row r="9" s="51" customFormat="true" ht="60" hidden="false" customHeight="true" outlineLevel="0" collapsed="false">
      <c r="A9" s="53" t="n">
        <v>46084</v>
      </c>
      <c r="B9" s="54"/>
      <c r="C9" s="67"/>
      <c r="D9" s="67"/>
      <c r="E9" s="55"/>
      <c r="F9" s="67"/>
      <c r="G9" s="67"/>
      <c r="H9" s="67"/>
      <c r="I9" s="55"/>
      <c r="J9" s="55"/>
      <c r="K9" s="55"/>
      <c r="L9" s="55"/>
      <c r="M9" s="55"/>
      <c r="N9" s="55"/>
      <c r="O9" s="55"/>
      <c r="P9" s="56"/>
      <c r="Q9" s="57" t="n">
        <f aca="false">SUM(B9,D9,F9,H9,J9,L9)</f>
        <v>0</v>
      </c>
      <c r="R9" s="57" t="n">
        <f aca="false">SUM(C9,E9,G9,I9,K9,M9)</f>
        <v>0</v>
      </c>
      <c r="S9" s="69"/>
      <c r="T9" s="70"/>
      <c r="U9" s="71"/>
      <c r="V9" s="72"/>
      <c r="W9" s="73"/>
      <c r="X9" s="64"/>
      <c r="Y9" s="49"/>
      <c r="Z9" s="49"/>
      <c r="AA9" s="65"/>
    </row>
    <row r="10" s="51" customFormat="true" ht="60" hidden="false" customHeight="true" outlineLevel="0" collapsed="false">
      <c r="A10" s="53" t="n">
        <v>46085</v>
      </c>
      <c r="B10" s="54"/>
      <c r="C10" s="67"/>
      <c r="D10" s="67"/>
      <c r="E10" s="55"/>
      <c r="F10" s="67"/>
      <c r="G10" s="67"/>
      <c r="H10" s="67"/>
      <c r="I10" s="55"/>
      <c r="J10" s="55"/>
      <c r="K10" s="55"/>
      <c r="L10" s="55"/>
      <c r="M10" s="55"/>
      <c r="N10" s="55"/>
      <c r="O10" s="55"/>
      <c r="P10" s="56"/>
      <c r="Q10" s="57" t="n">
        <f aca="false">SUM(B10,D10,F10,H10,J10,L10)</f>
        <v>0</v>
      </c>
      <c r="R10" s="57" t="n">
        <f aca="false">SUM(C10,E10,G10,I10,K10,M10)</f>
        <v>0</v>
      </c>
      <c r="S10" s="69"/>
      <c r="T10" s="70"/>
      <c r="U10" s="71"/>
      <c r="V10" s="72"/>
      <c r="W10" s="73"/>
      <c r="X10" s="64"/>
      <c r="Y10" s="49"/>
      <c r="Z10" s="49"/>
      <c r="AA10" s="65"/>
    </row>
    <row r="11" s="51" customFormat="true" ht="60" hidden="false" customHeight="true" outlineLevel="0" collapsed="false">
      <c r="A11" s="53" t="n">
        <v>46086</v>
      </c>
      <c r="B11" s="54"/>
      <c r="C11" s="67"/>
      <c r="D11" s="67"/>
      <c r="E11" s="55"/>
      <c r="F11" s="67"/>
      <c r="G11" s="67"/>
      <c r="H11" s="67"/>
      <c r="I11" s="55"/>
      <c r="J11" s="55"/>
      <c r="K11" s="55"/>
      <c r="L11" s="55"/>
      <c r="M11" s="55"/>
      <c r="N11" s="55"/>
      <c r="O11" s="55"/>
      <c r="P11" s="56"/>
      <c r="Q11" s="57" t="n">
        <f aca="false">SUM(B11,D11,F11,H11,J11,L11)</f>
        <v>0</v>
      </c>
      <c r="R11" s="57" t="n">
        <f aca="false">SUM(C11,E11,G11,I11,K11,M11)</f>
        <v>0</v>
      </c>
      <c r="S11" s="69"/>
      <c r="T11" s="70"/>
      <c r="U11" s="71"/>
      <c r="V11" s="72"/>
      <c r="W11" s="73"/>
      <c r="X11" s="64"/>
      <c r="Y11" s="49"/>
      <c r="Z11" s="49"/>
      <c r="AA11" s="65"/>
    </row>
    <row r="12" s="51" customFormat="true" ht="60" hidden="false" customHeight="true" outlineLevel="0" collapsed="false">
      <c r="A12" s="53" t="n">
        <v>46087</v>
      </c>
      <c r="B12" s="54"/>
      <c r="C12" s="67"/>
      <c r="D12" s="67"/>
      <c r="E12" s="55"/>
      <c r="F12" s="67"/>
      <c r="G12" s="67"/>
      <c r="H12" s="67"/>
      <c r="I12" s="55"/>
      <c r="J12" s="55"/>
      <c r="K12" s="55"/>
      <c r="L12" s="55"/>
      <c r="M12" s="55"/>
      <c r="N12" s="55"/>
      <c r="O12" s="55"/>
      <c r="P12" s="56"/>
      <c r="Q12" s="57" t="n">
        <f aca="false">SUM(B12,D12,F12,H12,J12,L12)</f>
        <v>0</v>
      </c>
      <c r="R12" s="57" t="n">
        <f aca="false">SUM(C12,E12,G12,I12,K12,M12)</f>
        <v>0</v>
      </c>
      <c r="S12" s="69"/>
      <c r="T12" s="70"/>
      <c r="U12" s="71"/>
      <c r="V12" s="72"/>
      <c r="W12" s="73"/>
      <c r="X12" s="101"/>
      <c r="Y12" s="49"/>
      <c r="Z12" s="49"/>
      <c r="AA12" s="65"/>
    </row>
    <row r="13" s="51" customFormat="true" ht="60" hidden="false" customHeight="true" outlineLevel="0" collapsed="false">
      <c r="A13" s="53" t="n">
        <v>46088</v>
      </c>
      <c r="B13" s="54"/>
      <c r="C13" s="67"/>
      <c r="D13" s="67"/>
      <c r="E13" s="55"/>
      <c r="F13" s="67"/>
      <c r="G13" s="67"/>
      <c r="H13" s="67"/>
      <c r="I13" s="55"/>
      <c r="J13" s="55"/>
      <c r="K13" s="55"/>
      <c r="L13" s="55"/>
      <c r="M13" s="55"/>
      <c r="N13" s="55"/>
      <c r="O13" s="55"/>
      <c r="P13" s="56"/>
      <c r="Q13" s="57" t="n">
        <f aca="false">SUM(B13,D13,F13,H13,J13,L13)</f>
        <v>0</v>
      </c>
      <c r="R13" s="57" t="n">
        <f aca="false">SUM(C13,E13,G13,I13,K13,M13)</f>
        <v>0</v>
      </c>
      <c r="S13" s="69"/>
      <c r="T13" s="70"/>
      <c r="U13" s="71"/>
      <c r="V13" s="72"/>
      <c r="W13" s="73"/>
      <c r="X13" s="101"/>
      <c r="Y13" s="49"/>
      <c r="Z13" s="49"/>
      <c r="AA13" s="65"/>
    </row>
    <row r="14" s="51" customFormat="true" ht="60" hidden="false" customHeight="true" outlineLevel="0" collapsed="false">
      <c r="A14" s="53" t="n">
        <v>46089</v>
      </c>
      <c r="B14" s="54"/>
      <c r="C14" s="67"/>
      <c r="D14" s="67"/>
      <c r="E14" s="55"/>
      <c r="F14" s="67"/>
      <c r="G14" s="67"/>
      <c r="H14" s="67"/>
      <c r="I14" s="55"/>
      <c r="J14" s="55"/>
      <c r="K14" s="55"/>
      <c r="L14" s="55"/>
      <c r="M14" s="55"/>
      <c r="N14" s="55"/>
      <c r="O14" s="55"/>
      <c r="P14" s="56"/>
      <c r="Q14" s="57" t="n">
        <f aca="false">SUM(B14,D14,F14,H14,J14,L14)</f>
        <v>0</v>
      </c>
      <c r="R14" s="57" t="n">
        <f aca="false">SUM(C14,E14,G14,I14,K14,M14)</f>
        <v>0</v>
      </c>
      <c r="S14" s="69"/>
      <c r="T14" s="70"/>
      <c r="U14" s="71"/>
      <c r="V14" s="72"/>
      <c r="W14" s="73"/>
      <c r="X14" s="101"/>
      <c r="Y14" s="49"/>
      <c r="Z14" s="49"/>
      <c r="AA14" s="65"/>
    </row>
    <row r="15" s="51" customFormat="true" ht="60" hidden="false" customHeight="true" outlineLevel="0" collapsed="false">
      <c r="A15" s="53" t="n">
        <v>46090</v>
      </c>
      <c r="B15" s="54"/>
      <c r="C15" s="67"/>
      <c r="D15" s="67"/>
      <c r="E15" s="55"/>
      <c r="F15" s="67"/>
      <c r="G15" s="67"/>
      <c r="H15" s="67"/>
      <c r="I15" s="55"/>
      <c r="J15" s="55"/>
      <c r="K15" s="55"/>
      <c r="L15" s="55"/>
      <c r="M15" s="55"/>
      <c r="N15" s="55"/>
      <c r="O15" s="55"/>
      <c r="P15" s="56"/>
      <c r="Q15" s="57" t="n">
        <f aca="false">SUM(B15,D15,F15,H15,J15,L15)</f>
        <v>0</v>
      </c>
      <c r="R15" s="57" t="n">
        <f aca="false">SUM(C15,E15,G15,I15,K15,M15)</f>
        <v>0</v>
      </c>
      <c r="S15" s="69"/>
      <c r="T15" s="70"/>
      <c r="U15" s="71"/>
      <c r="V15" s="72"/>
      <c r="W15" s="73"/>
      <c r="X15" s="101"/>
      <c r="Y15" s="49"/>
      <c r="Z15" s="49"/>
      <c r="AA15" s="65"/>
    </row>
    <row r="16" s="51" customFormat="true" ht="60" hidden="false" customHeight="true" outlineLevel="0" collapsed="false">
      <c r="A16" s="53" t="n">
        <v>46091</v>
      </c>
      <c r="B16" s="54"/>
      <c r="C16" s="67"/>
      <c r="D16" s="67"/>
      <c r="E16" s="55"/>
      <c r="F16" s="67"/>
      <c r="G16" s="67"/>
      <c r="H16" s="67"/>
      <c r="I16" s="55"/>
      <c r="J16" s="55"/>
      <c r="K16" s="55"/>
      <c r="L16" s="55"/>
      <c r="M16" s="55"/>
      <c r="N16" s="55"/>
      <c r="O16" s="55"/>
      <c r="P16" s="56"/>
      <c r="Q16" s="57" t="n">
        <f aca="false">SUM(B16,D16,F16,H16,J16,L16)</f>
        <v>0</v>
      </c>
      <c r="R16" s="57" t="n">
        <f aca="false">SUM(C16,E16,G16,I16,K16,M16)</f>
        <v>0</v>
      </c>
      <c r="S16" s="69"/>
      <c r="T16" s="70"/>
      <c r="U16" s="71"/>
      <c r="V16" s="72"/>
      <c r="W16" s="73"/>
      <c r="X16" s="101"/>
      <c r="Y16" s="49"/>
      <c r="Z16" s="49"/>
      <c r="AA16" s="65"/>
    </row>
    <row r="17" s="51" customFormat="true" ht="60" hidden="false" customHeight="true" outlineLevel="0" collapsed="false">
      <c r="A17" s="53" t="n">
        <v>46092</v>
      </c>
      <c r="B17" s="54"/>
      <c r="C17" s="67"/>
      <c r="D17" s="67"/>
      <c r="E17" s="55"/>
      <c r="F17" s="67"/>
      <c r="G17" s="67"/>
      <c r="H17" s="67"/>
      <c r="I17" s="55"/>
      <c r="J17" s="55"/>
      <c r="K17" s="55"/>
      <c r="L17" s="55"/>
      <c r="M17" s="55"/>
      <c r="N17" s="55"/>
      <c r="O17" s="55"/>
      <c r="P17" s="56"/>
      <c r="Q17" s="57" t="n">
        <f aca="false">SUM(B17,D17,F17,H17,J17,L17)</f>
        <v>0</v>
      </c>
      <c r="R17" s="57" t="n">
        <f aca="false">SUM(C17,E17,G17,I17,K17,M17)</f>
        <v>0</v>
      </c>
      <c r="S17" s="69"/>
      <c r="T17" s="70"/>
      <c r="U17" s="71"/>
      <c r="V17" s="72"/>
      <c r="W17" s="73"/>
      <c r="X17" s="74"/>
      <c r="Y17" s="49"/>
      <c r="Z17" s="49"/>
      <c r="AA17" s="65"/>
    </row>
    <row r="18" s="51" customFormat="true" ht="60" hidden="false" customHeight="true" outlineLevel="0" collapsed="false">
      <c r="A18" s="53" t="n">
        <v>46093</v>
      </c>
      <c r="B18" s="54"/>
      <c r="C18" s="67"/>
      <c r="D18" s="67"/>
      <c r="E18" s="55"/>
      <c r="F18" s="67"/>
      <c r="G18" s="67"/>
      <c r="H18" s="67"/>
      <c r="I18" s="55"/>
      <c r="J18" s="55"/>
      <c r="K18" s="55"/>
      <c r="L18" s="55"/>
      <c r="M18" s="55"/>
      <c r="N18" s="55"/>
      <c r="O18" s="55"/>
      <c r="P18" s="56"/>
      <c r="Q18" s="57" t="n">
        <f aca="false">SUM(B18,D18,F18,H18,J18,L18)</f>
        <v>0</v>
      </c>
      <c r="R18" s="57" t="n">
        <f aca="false">SUM(C18,E18,G18,I18,K18,M18)</f>
        <v>0</v>
      </c>
      <c r="S18" s="69"/>
      <c r="T18" s="70"/>
      <c r="U18" s="71"/>
      <c r="V18" s="72"/>
      <c r="W18" s="73"/>
      <c r="X18" s="74"/>
      <c r="Y18" s="49"/>
      <c r="Z18" s="49"/>
      <c r="AA18" s="65"/>
    </row>
    <row r="19" s="51" customFormat="true" ht="60" hidden="false" customHeight="true" outlineLevel="0" collapsed="false">
      <c r="A19" s="53" t="n">
        <v>46094</v>
      </c>
      <c r="B19" s="54"/>
      <c r="C19" s="67"/>
      <c r="D19" s="67"/>
      <c r="E19" s="55"/>
      <c r="F19" s="67"/>
      <c r="G19" s="67"/>
      <c r="H19" s="67"/>
      <c r="I19" s="55"/>
      <c r="J19" s="55"/>
      <c r="K19" s="55"/>
      <c r="L19" s="55"/>
      <c r="M19" s="55"/>
      <c r="N19" s="55"/>
      <c r="O19" s="55"/>
      <c r="P19" s="56"/>
      <c r="Q19" s="57" t="n">
        <f aca="false">SUM(B19,D19,F19,H19,J19,L19)</f>
        <v>0</v>
      </c>
      <c r="R19" s="57" t="n">
        <f aca="false">SUM(C19,E19,G19,I19,K19,M19)</f>
        <v>0</v>
      </c>
      <c r="S19" s="69"/>
      <c r="T19" s="70"/>
      <c r="U19" s="71"/>
      <c r="V19" s="72"/>
      <c r="W19" s="73"/>
      <c r="X19" s="102"/>
      <c r="Y19" s="49"/>
      <c r="Z19" s="49"/>
      <c r="AA19" s="65"/>
    </row>
    <row r="20" s="51" customFormat="true" ht="60" hidden="false" customHeight="true" outlineLevel="0" collapsed="false">
      <c r="A20" s="53" t="n">
        <v>46095</v>
      </c>
      <c r="B20" s="54"/>
      <c r="C20" s="67"/>
      <c r="D20" s="67"/>
      <c r="E20" s="55"/>
      <c r="F20" s="67"/>
      <c r="G20" s="67"/>
      <c r="H20" s="67"/>
      <c r="I20" s="55"/>
      <c r="J20" s="55"/>
      <c r="K20" s="55"/>
      <c r="L20" s="55"/>
      <c r="M20" s="55"/>
      <c r="N20" s="55"/>
      <c r="O20" s="55"/>
      <c r="P20" s="56"/>
      <c r="Q20" s="57" t="n">
        <f aca="false">SUM(B20,D20,F20,H20,J20,L20)</f>
        <v>0</v>
      </c>
      <c r="R20" s="57" t="n">
        <f aca="false">SUM(C20,E20,G20,I20,K20,M20)</f>
        <v>0</v>
      </c>
      <c r="S20" s="69"/>
      <c r="T20" s="70"/>
      <c r="U20" s="71"/>
      <c r="V20" s="72"/>
      <c r="W20" s="73"/>
      <c r="X20" s="102"/>
      <c r="Y20" s="49"/>
      <c r="Z20" s="49"/>
      <c r="AA20" s="65"/>
    </row>
    <row r="21" s="51" customFormat="true" ht="60" hidden="false" customHeight="true" outlineLevel="0" collapsed="false">
      <c r="A21" s="53" t="n">
        <v>46096</v>
      </c>
      <c r="B21" s="76"/>
      <c r="C21" s="67"/>
      <c r="D21" s="67"/>
      <c r="E21" s="55"/>
      <c r="F21" s="67"/>
      <c r="G21" s="67"/>
      <c r="H21" s="67"/>
      <c r="I21" s="55"/>
      <c r="J21" s="55"/>
      <c r="K21" s="55"/>
      <c r="L21" s="55"/>
      <c r="M21" s="55"/>
      <c r="N21" s="55"/>
      <c r="O21" s="55"/>
      <c r="P21" s="56"/>
      <c r="Q21" s="57" t="n">
        <f aca="false">SUM(B21,D21,F21,H21,J21,L21)</f>
        <v>0</v>
      </c>
      <c r="R21" s="57" t="n">
        <f aca="false">SUM(C21,E21,G21,I21,K21,M21)</f>
        <v>0</v>
      </c>
      <c r="S21" s="69"/>
      <c r="T21" s="70"/>
      <c r="U21" s="71"/>
      <c r="V21" s="72"/>
      <c r="W21" s="73"/>
      <c r="X21" s="102"/>
      <c r="Y21" s="49"/>
      <c r="Z21" s="49"/>
      <c r="AA21" s="65"/>
    </row>
    <row r="22" s="51" customFormat="true" ht="60" hidden="false" customHeight="true" outlineLevel="0" collapsed="false">
      <c r="A22" s="53" t="n">
        <v>46097</v>
      </c>
      <c r="B22" s="76"/>
      <c r="C22" s="67"/>
      <c r="D22" s="67"/>
      <c r="E22" s="55"/>
      <c r="F22" s="67"/>
      <c r="G22" s="67"/>
      <c r="H22" s="67"/>
      <c r="I22" s="55"/>
      <c r="J22" s="55"/>
      <c r="K22" s="55"/>
      <c r="L22" s="55"/>
      <c r="M22" s="55"/>
      <c r="N22" s="55"/>
      <c r="O22" s="55"/>
      <c r="P22" s="56"/>
      <c r="Q22" s="57" t="n">
        <f aca="false">SUM(B22,D22,F22,H22,J22,L22)</f>
        <v>0</v>
      </c>
      <c r="R22" s="57" t="n">
        <f aca="false">SUM(C22,E22,G22,I22,K22,M22)</f>
        <v>0</v>
      </c>
      <c r="S22" s="69"/>
      <c r="T22" s="70"/>
      <c r="U22" s="71"/>
      <c r="V22" s="72"/>
      <c r="W22" s="73"/>
      <c r="X22" s="102"/>
      <c r="Y22" s="49"/>
      <c r="Z22" s="49"/>
      <c r="AA22" s="65"/>
    </row>
    <row r="23" s="51" customFormat="true" ht="60" hidden="false" customHeight="true" outlineLevel="0" collapsed="false">
      <c r="A23" s="53" t="n">
        <v>46098</v>
      </c>
      <c r="B23" s="76"/>
      <c r="C23" s="67"/>
      <c r="D23" s="67"/>
      <c r="E23" s="55"/>
      <c r="F23" s="67"/>
      <c r="G23" s="67"/>
      <c r="H23" s="67"/>
      <c r="I23" s="55"/>
      <c r="J23" s="55"/>
      <c r="K23" s="55"/>
      <c r="L23" s="55"/>
      <c r="M23" s="55"/>
      <c r="N23" s="55"/>
      <c r="O23" s="55"/>
      <c r="P23" s="56"/>
      <c r="Q23" s="57" t="n">
        <f aca="false">SUM(B23,D23,F23,H23,J23,L23)</f>
        <v>0</v>
      </c>
      <c r="R23" s="57" t="n">
        <f aca="false">SUM(C23,E23,G23,I23,K23,M23)</f>
        <v>0</v>
      </c>
      <c r="S23" s="69"/>
      <c r="T23" s="70"/>
      <c r="U23" s="71"/>
      <c r="V23" s="72"/>
      <c r="W23" s="73"/>
      <c r="X23" s="102"/>
      <c r="Y23" s="49"/>
      <c r="Z23" s="49"/>
      <c r="AA23" s="65"/>
    </row>
    <row r="24" s="51" customFormat="true" ht="60" hidden="false" customHeight="true" outlineLevel="0" collapsed="false">
      <c r="A24" s="53" t="n">
        <v>46099</v>
      </c>
      <c r="B24" s="76"/>
      <c r="C24" s="67"/>
      <c r="D24" s="67"/>
      <c r="E24" s="55"/>
      <c r="F24" s="67"/>
      <c r="G24" s="67"/>
      <c r="H24" s="67"/>
      <c r="I24" s="55"/>
      <c r="J24" s="55"/>
      <c r="K24" s="55"/>
      <c r="L24" s="55"/>
      <c r="M24" s="55"/>
      <c r="N24" s="55"/>
      <c r="O24" s="55"/>
      <c r="P24" s="56"/>
      <c r="Q24" s="57" t="n">
        <f aca="false">SUM(B24,D24,F24,H24,J24,L24)</f>
        <v>0</v>
      </c>
      <c r="R24" s="57" t="n">
        <f aca="false">SUM(C24,E24,G24,I24,K24,M24)</f>
        <v>0</v>
      </c>
      <c r="S24" s="69"/>
      <c r="T24" s="70"/>
      <c r="U24" s="71"/>
      <c r="V24" s="72"/>
      <c r="W24" s="73"/>
      <c r="X24" s="74"/>
      <c r="Y24" s="49"/>
      <c r="Z24" s="49"/>
      <c r="AA24" s="65"/>
    </row>
    <row r="25" s="51" customFormat="true" ht="60" hidden="false" customHeight="true" outlineLevel="0" collapsed="false">
      <c r="A25" s="53" t="n">
        <v>46100</v>
      </c>
      <c r="B25" s="76"/>
      <c r="C25" s="67"/>
      <c r="D25" s="67"/>
      <c r="E25" s="55"/>
      <c r="F25" s="67"/>
      <c r="G25" s="67"/>
      <c r="H25" s="67"/>
      <c r="I25" s="55"/>
      <c r="J25" s="55"/>
      <c r="K25" s="55"/>
      <c r="L25" s="55"/>
      <c r="M25" s="55"/>
      <c r="N25" s="55"/>
      <c r="O25" s="55"/>
      <c r="P25" s="56"/>
      <c r="Q25" s="57" t="n">
        <f aca="false">SUM(B25,D25,F25,H25,J25,L25)</f>
        <v>0</v>
      </c>
      <c r="R25" s="57" t="n">
        <f aca="false">SUM(C25,E25,G25,I25,K25,M25)</f>
        <v>0</v>
      </c>
      <c r="S25" s="69"/>
      <c r="T25" s="70"/>
      <c r="U25" s="71"/>
      <c r="V25" s="72"/>
      <c r="W25" s="73"/>
      <c r="X25" s="74"/>
      <c r="Y25" s="49"/>
      <c r="Z25" s="49"/>
      <c r="AA25" s="65"/>
    </row>
    <row r="26" s="51" customFormat="true" ht="60" hidden="false" customHeight="true" outlineLevel="0" collapsed="false">
      <c r="A26" s="53" t="n">
        <v>46101</v>
      </c>
      <c r="B26" s="76"/>
      <c r="C26" s="67"/>
      <c r="D26" s="67"/>
      <c r="E26" s="55"/>
      <c r="F26" s="67"/>
      <c r="G26" s="67"/>
      <c r="H26" s="67"/>
      <c r="I26" s="55"/>
      <c r="J26" s="55"/>
      <c r="K26" s="55"/>
      <c r="L26" s="55"/>
      <c r="M26" s="55"/>
      <c r="N26" s="55"/>
      <c r="O26" s="55"/>
      <c r="P26" s="56"/>
      <c r="Q26" s="57" t="n">
        <f aca="false">SUM(B26,D26,F26,H26,J26,L26)</f>
        <v>0</v>
      </c>
      <c r="R26" s="57" t="n">
        <f aca="false">SUM(C26,E26,G26,I26,K26,M26)</f>
        <v>0</v>
      </c>
      <c r="S26" s="69"/>
      <c r="T26" s="70"/>
      <c r="U26" s="71"/>
      <c r="V26" s="72"/>
      <c r="W26" s="73"/>
      <c r="X26" s="74"/>
      <c r="Y26" s="49"/>
      <c r="Z26" s="49"/>
      <c r="AA26" s="65"/>
    </row>
    <row r="27" s="51" customFormat="true" ht="60" hidden="false" customHeight="true" outlineLevel="0" collapsed="false">
      <c r="A27" s="53" t="n">
        <v>46102</v>
      </c>
      <c r="B27" s="76"/>
      <c r="C27" s="67"/>
      <c r="D27" s="67"/>
      <c r="E27" s="55"/>
      <c r="F27" s="67"/>
      <c r="G27" s="67"/>
      <c r="H27" s="67"/>
      <c r="I27" s="55"/>
      <c r="J27" s="55"/>
      <c r="K27" s="55"/>
      <c r="L27" s="55"/>
      <c r="M27" s="55"/>
      <c r="N27" s="55"/>
      <c r="O27" s="55"/>
      <c r="P27" s="56"/>
      <c r="Q27" s="57" t="n">
        <f aca="false">SUM(B27,D27,F27,H27,J27,L27)</f>
        <v>0</v>
      </c>
      <c r="R27" s="57" t="n">
        <f aca="false">SUM(C27,E27,G27,I27,K27,M27)</f>
        <v>0</v>
      </c>
      <c r="S27" s="69"/>
      <c r="T27" s="70"/>
      <c r="U27" s="71"/>
      <c r="V27" s="72"/>
      <c r="W27" s="73"/>
      <c r="X27" s="102"/>
      <c r="Y27" s="49"/>
      <c r="Z27" s="49"/>
      <c r="AA27" s="65"/>
    </row>
    <row r="28" s="51" customFormat="true" ht="60" hidden="false" customHeight="true" outlineLevel="0" collapsed="false">
      <c r="A28" s="53" t="n">
        <v>46103</v>
      </c>
      <c r="B28" s="76"/>
      <c r="C28" s="67"/>
      <c r="D28" s="67"/>
      <c r="E28" s="55"/>
      <c r="F28" s="67"/>
      <c r="G28" s="67"/>
      <c r="H28" s="67"/>
      <c r="I28" s="55"/>
      <c r="J28" s="55"/>
      <c r="K28" s="55"/>
      <c r="L28" s="55"/>
      <c r="M28" s="55"/>
      <c r="N28" s="55"/>
      <c r="O28" s="55"/>
      <c r="P28" s="56"/>
      <c r="Q28" s="57" t="n">
        <f aca="false">SUM(B28,D28,F28,H28,J28,L28)</f>
        <v>0</v>
      </c>
      <c r="R28" s="57" t="n">
        <f aca="false">SUM(C28,E28,G28,I28,K28,M28)</f>
        <v>0</v>
      </c>
      <c r="S28" s="69"/>
      <c r="T28" s="70"/>
      <c r="U28" s="71"/>
      <c r="V28" s="72"/>
      <c r="W28" s="73"/>
      <c r="X28" s="102"/>
      <c r="Y28" s="49"/>
      <c r="Z28" s="49"/>
      <c r="AA28" s="65"/>
    </row>
    <row r="29" s="51" customFormat="true" ht="60" hidden="false" customHeight="true" outlineLevel="0" collapsed="false">
      <c r="A29" s="53" t="n">
        <v>46104</v>
      </c>
      <c r="B29" s="76"/>
      <c r="C29" s="67"/>
      <c r="D29" s="67"/>
      <c r="E29" s="55"/>
      <c r="F29" s="67"/>
      <c r="G29" s="67"/>
      <c r="H29" s="67"/>
      <c r="I29" s="55"/>
      <c r="J29" s="55"/>
      <c r="K29" s="55"/>
      <c r="L29" s="55"/>
      <c r="M29" s="55"/>
      <c r="N29" s="55"/>
      <c r="O29" s="55"/>
      <c r="P29" s="56"/>
      <c r="Q29" s="57" t="n">
        <f aca="false">SUM(B29,D29,F29,H29,J29,L29)</f>
        <v>0</v>
      </c>
      <c r="R29" s="57" t="n">
        <f aca="false">SUM(C29,E29,G29,I29,K29,M29)</f>
        <v>0</v>
      </c>
      <c r="S29" s="69"/>
      <c r="T29" s="70"/>
      <c r="U29" s="71"/>
      <c r="V29" s="72"/>
      <c r="W29" s="73"/>
      <c r="X29" s="74"/>
      <c r="Y29" s="49"/>
      <c r="Z29" s="49"/>
      <c r="AA29" s="65"/>
    </row>
    <row r="30" s="51" customFormat="true" ht="60" hidden="false" customHeight="true" outlineLevel="0" collapsed="false">
      <c r="A30" s="53" t="n">
        <v>46105</v>
      </c>
      <c r="B30" s="76"/>
      <c r="C30" s="67"/>
      <c r="D30" s="67"/>
      <c r="E30" s="55"/>
      <c r="F30" s="67"/>
      <c r="G30" s="67"/>
      <c r="H30" s="67"/>
      <c r="I30" s="55"/>
      <c r="J30" s="55"/>
      <c r="K30" s="55"/>
      <c r="L30" s="55"/>
      <c r="M30" s="55"/>
      <c r="N30" s="55"/>
      <c r="O30" s="55"/>
      <c r="P30" s="56"/>
      <c r="Q30" s="57" t="n">
        <f aca="false">SUM(B30,D30,F30,H30,J30,L30)</f>
        <v>0</v>
      </c>
      <c r="R30" s="57" t="n">
        <f aca="false">SUM(C30,E30,G30,I30,K30,M30)</f>
        <v>0</v>
      </c>
      <c r="S30" s="69"/>
      <c r="T30" s="70"/>
      <c r="U30" s="71"/>
      <c r="V30" s="72"/>
      <c r="W30" s="73"/>
      <c r="X30" s="102"/>
      <c r="Y30" s="49"/>
      <c r="Z30" s="49"/>
      <c r="AA30" s="65"/>
    </row>
    <row r="31" s="51" customFormat="true" ht="60" hidden="false" customHeight="true" outlineLevel="0" collapsed="false">
      <c r="A31" s="53" t="n">
        <v>46106</v>
      </c>
      <c r="B31" s="76"/>
      <c r="C31" s="67"/>
      <c r="D31" s="67"/>
      <c r="E31" s="55"/>
      <c r="F31" s="67"/>
      <c r="G31" s="67"/>
      <c r="H31" s="67"/>
      <c r="I31" s="55"/>
      <c r="J31" s="55"/>
      <c r="K31" s="55"/>
      <c r="L31" s="55"/>
      <c r="M31" s="55"/>
      <c r="N31" s="55"/>
      <c r="O31" s="55"/>
      <c r="P31" s="56"/>
      <c r="Q31" s="57" t="n">
        <f aca="false">SUM(B31,D31,F31,H31,J31,L31)</f>
        <v>0</v>
      </c>
      <c r="R31" s="57" t="n">
        <f aca="false">SUM(C31,E31,G31,I31,K31,M31)</f>
        <v>0</v>
      </c>
      <c r="S31" s="69"/>
      <c r="T31" s="70"/>
      <c r="U31" s="71"/>
      <c r="V31" s="72"/>
      <c r="W31" s="73"/>
      <c r="X31" s="102"/>
      <c r="Y31" s="49"/>
      <c r="Z31" s="49"/>
      <c r="AA31" s="65"/>
    </row>
    <row r="32" s="51" customFormat="true" ht="60" hidden="false" customHeight="true" outlineLevel="0" collapsed="false">
      <c r="A32" s="53" t="n">
        <v>46107</v>
      </c>
      <c r="B32" s="76"/>
      <c r="C32" s="67"/>
      <c r="D32" s="67"/>
      <c r="E32" s="55"/>
      <c r="F32" s="67"/>
      <c r="G32" s="67"/>
      <c r="H32" s="67"/>
      <c r="I32" s="55"/>
      <c r="J32" s="55"/>
      <c r="K32" s="55"/>
      <c r="L32" s="55"/>
      <c r="M32" s="55"/>
      <c r="N32" s="55"/>
      <c r="O32" s="55"/>
      <c r="P32" s="56"/>
      <c r="Q32" s="57" t="n">
        <f aca="false">SUM(B32,D32,F32,H32,J32,L32)</f>
        <v>0</v>
      </c>
      <c r="R32" s="57" t="n">
        <f aca="false">SUM(C32,E32,G32,I32,K32,M32)</f>
        <v>0</v>
      </c>
      <c r="S32" s="69"/>
      <c r="T32" s="70"/>
      <c r="U32" s="71"/>
      <c r="V32" s="72"/>
      <c r="W32" s="73"/>
      <c r="X32" s="102"/>
      <c r="Y32" s="49"/>
      <c r="Z32" s="49"/>
      <c r="AA32" s="65"/>
    </row>
    <row r="33" s="51" customFormat="true" ht="60" hidden="false" customHeight="true" outlineLevel="0" collapsed="false">
      <c r="A33" s="53" t="n">
        <v>46108</v>
      </c>
      <c r="B33" s="76"/>
      <c r="C33" s="67"/>
      <c r="D33" s="67"/>
      <c r="E33" s="55"/>
      <c r="F33" s="67"/>
      <c r="G33" s="67"/>
      <c r="H33" s="67"/>
      <c r="I33" s="55"/>
      <c r="J33" s="55"/>
      <c r="K33" s="55"/>
      <c r="L33" s="55"/>
      <c r="M33" s="55"/>
      <c r="N33" s="55"/>
      <c r="O33" s="55"/>
      <c r="P33" s="56"/>
      <c r="Q33" s="57" t="n">
        <f aca="false">SUM(B33,D33,F33,H33,J33,L33)</f>
        <v>0</v>
      </c>
      <c r="R33" s="57" t="n">
        <f aca="false">SUM(C33,E33,G33,I33,K33,M33)</f>
        <v>0</v>
      </c>
      <c r="S33" s="69"/>
      <c r="T33" s="70"/>
      <c r="U33" s="71"/>
      <c r="V33" s="72"/>
      <c r="W33" s="73"/>
      <c r="X33" s="102"/>
      <c r="Y33" s="49"/>
      <c r="Z33" s="49"/>
      <c r="AA33" s="65"/>
    </row>
    <row r="34" s="51" customFormat="true" ht="60" hidden="false" customHeight="true" outlineLevel="0" collapsed="false">
      <c r="A34" s="53" t="n">
        <v>46109</v>
      </c>
      <c r="B34" s="76"/>
      <c r="C34" s="67"/>
      <c r="D34" s="67"/>
      <c r="E34" s="55"/>
      <c r="F34" s="67"/>
      <c r="G34" s="67"/>
      <c r="H34" s="67"/>
      <c r="I34" s="55"/>
      <c r="J34" s="55"/>
      <c r="K34" s="55"/>
      <c r="L34" s="55"/>
      <c r="M34" s="55"/>
      <c r="N34" s="55"/>
      <c r="O34" s="55"/>
      <c r="P34" s="56"/>
      <c r="Q34" s="57" t="n">
        <f aca="false">SUM(B34,D34,F34,H34,J34,L34)</f>
        <v>0</v>
      </c>
      <c r="R34" s="57" t="n">
        <f aca="false">SUM(C34,E34,G34,I34,K34,M34)</f>
        <v>0</v>
      </c>
      <c r="S34" s="69"/>
      <c r="T34" s="70"/>
      <c r="U34" s="71"/>
      <c r="V34" s="72"/>
      <c r="W34" s="73"/>
      <c r="X34" s="102"/>
      <c r="Y34" s="49"/>
      <c r="Z34" s="49"/>
      <c r="AA34" s="65"/>
    </row>
    <row r="35" s="51" customFormat="true" ht="60" hidden="false" customHeight="true" outlineLevel="0" collapsed="false">
      <c r="A35" s="53" t="n">
        <v>46110</v>
      </c>
      <c r="B35" s="76"/>
      <c r="C35" s="67"/>
      <c r="D35" s="67"/>
      <c r="E35" s="55"/>
      <c r="F35" s="67"/>
      <c r="G35" s="67"/>
      <c r="H35" s="67"/>
      <c r="I35" s="55"/>
      <c r="J35" s="55"/>
      <c r="K35" s="55"/>
      <c r="L35" s="55"/>
      <c r="M35" s="55"/>
      <c r="N35" s="55"/>
      <c r="O35" s="55"/>
      <c r="P35" s="56"/>
      <c r="Q35" s="57" t="n">
        <f aca="false">SUM(B35,D35,F35,H35,J35,L35)</f>
        <v>0</v>
      </c>
      <c r="R35" s="57" t="n">
        <f aca="false">SUM(C35,E35,G35,I35,K35,M35)</f>
        <v>0</v>
      </c>
      <c r="S35" s="69"/>
      <c r="T35" s="70"/>
      <c r="U35" s="71"/>
      <c r="V35" s="72"/>
      <c r="W35" s="73"/>
      <c r="X35" s="75"/>
      <c r="Y35" s="49"/>
      <c r="Z35" s="49"/>
      <c r="AA35" s="65"/>
    </row>
    <row r="36" s="51" customFormat="true" ht="60" hidden="false" customHeight="true" outlineLevel="0" collapsed="false">
      <c r="A36" s="53" t="n">
        <v>46111</v>
      </c>
      <c r="B36" s="76"/>
      <c r="C36" s="67"/>
      <c r="D36" s="67"/>
      <c r="E36" s="55"/>
      <c r="F36" s="67"/>
      <c r="G36" s="67"/>
      <c r="H36" s="67"/>
      <c r="I36" s="55"/>
      <c r="J36" s="55"/>
      <c r="K36" s="55"/>
      <c r="L36" s="55"/>
      <c r="M36" s="55"/>
      <c r="N36" s="55"/>
      <c r="O36" s="55"/>
      <c r="P36" s="56"/>
      <c r="Q36" s="57" t="n">
        <f aca="false">SUM(B36,D36,F36,H36,J36,L36)</f>
        <v>0</v>
      </c>
      <c r="R36" s="57" t="n">
        <f aca="false">SUM(C36,E36,G36,I36,K36,M36)</f>
        <v>0</v>
      </c>
      <c r="S36" s="69"/>
      <c r="T36" s="70"/>
      <c r="U36" s="71"/>
      <c r="V36" s="72"/>
      <c r="W36" s="73"/>
      <c r="X36" s="75"/>
      <c r="Y36" s="49"/>
      <c r="Z36" s="49"/>
      <c r="AA36" s="65"/>
    </row>
    <row r="37" s="51" customFormat="true" ht="60" hidden="false" customHeight="true" outlineLevel="0" collapsed="false">
      <c r="A37" s="53" t="n">
        <v>46112</v>
      </c>
      <c r="B37" s="76"/>
      <c r="C37" s="67"/>
      <c r="D37" s="67"/>
      <c r="E37" s="55"/>
      <c r="F37" s="67"/>
      <c r="G37" s="67"/>
      <c r="H37" s="67"/>
      <c r="I37" s="55"/>
      <c r="J37" s="55"/>
      <c r="K37" s="55"/>
      <c r="L37" s="55"/>
      <c r="M37" s="55"/>
      <c r="N37" s="55"/>
      <c r="O37" s="55"/>
      <c r="P37" s="56"/>
      <c r="Q37" s="57" t="n">
        <f aca="false">SUM(B37,D37,F37,H37,J37,L37)</f>
        <v>0</v>
      </c>
      <c r="R37" s="57" t="n">
        <f aca="false">SUM(C37,E37,G37,I37,K37,M37)</f>
        <v>0</v>
      </c>
      <c r="S37" s="69"/>
      <c r="T37" s="70"/>
      <c r="U37" s="71"/>
      <c r="V37" s="72"/>
      <c r="W37" s="73"/>
      <c r="X37" s="75"/>
      <c r="Y37" s="49"/>
      <c r="Z37" s="49"/>
      <c r="AA37" s="65"/>
    </row>
    <row r="38" s="84" customFormat="true" ht="96.75" hidden="false" customHeight="true" outlineLevel="0" collapsed="false">
      <c r="A38" s="78"/>
      <c r="B38" s="79" t="n">
        <f aca="false">SUM(B7:B37)</f>
        <v>0</v>
      </c>
      <c r="C38" s="79" t="n">
        <f aca="false">SUM(C7:C37)</f>
        <v>0</v>
      </c>
      <c r="D38" s="79" t="n">
        <f aca="false">SUM(D7:D37)</f>
        <v>0</v>
      </c>
      <c r="E38" s="79" t="n">
        <f aca="false">SUM(E7:E37)</f>
        <v>0</v>
      </c>
      <c r="F38" s="79" t="n">
        <f aca="false">SUM(F7:F37)</f>
        <v>0</v>
      </c>
      <c r="G38" s="79" t="n">
        <f aca="false">SUM(G7:G37)</f>
        <v>0</v>
      </c>
      <c r="H38" s="79" t="n">
        <f aca="false">SUM(H7:H37)</f>
        <v>0</v>
      </c>
      <c r="I38" s="79" t="n">
        <f aca="false">SUM(I7:I37)</f>
        <v>0</v>
      </c>
      <c r="J38" s="79" t="n">
        <f aca="false">SUM(J7:J37)</f>
        <v>0</v>
      </c>
      <c r="K38" s="79" t="n">
        <f aca="false">SUM(K7:K37)</f>
        <v>0</v>
      </c>
      <c r="L38" s="79" t="n">
        <f aca="false">SUM(L7:L37)</f>
        <v>0</v>
      </c>
      <c r="M38" s="79" t="n">
        <f aca="false">SUM(M7:M37)</f>
        <v>0</v>
      </c>
      <c r="N38" s="79" t="n">
        <f aca="false">SUM(N7:N37)</f>
        <v>0</v>
      </c>
      <c r="O38" s="79" t="n">
        <f aca="false">SUM(O7:O37)</f>
        <v>0</v>
      </c>
      <c r="P38" s="79" t="n">
        <f aca="false">SUM(P7:P37)</f>
        <v>0</v>
      </c>
      <c r="Q38" s="79" t="n">
        <f aca="false">SUM(Q7:Q37)</f>
        <v>0</v>
      </c>
      <c r="R38" s="79" t="n">
        <f aca="false">SUM(R7:R37)</f>
        <v>0</v>
      </c>
      <c r="S38" s="79" t="n">
        <f aca="false">SUM(S7:S37)</f>
        <v>0</v>
      </c>
      <c r="T38" s="79" t="n">
        <f aca="false">SUM(T7:T37)</f>
        <v>0</v>
      </c>
      <c r="U38" s="79" t="n">
        <f aca="false">SUM(U7:U37)</f>
        <v>0</v>
      </c>
      <c r="V38" s="79" t="n">
        <f aca="false">SUM(V7:V37)</f>
        <v>0</v>
      </c>
      <c r="W38" s="79" t="n">
        <f aca="false">SUM(W7:W37)</f>
        <v>0</v>
      </c>
      <c r="X38" s="80" t="n">
        <f aca="false">SUM(X7:X37)</f>
        <v>0</v>
      </c>
      <c r="Y38" s="81" t="s">
        <v>39</v>
      </c>
      <c r="Z38" s="82"/>
      <c r="AA38" s="83"/>
    </row>
    <row r="39" s="96" customFormat="true" ht="109.5" hidden="false" customHeight="true" outlineLevel="0" collapsed="false">
      <c r="A39" s="85"/>
      <c r="B39" s="86"/>
      <c r="C39" s="86"/>
      <c r="D39" s="86"/>
      <c r="E39" s="86"/>
      <c r="F39" s="86"/>
      <c r="G39" s="86"/>
      <c r="H39" s="87" t="s">
        <v>40</v>
      </c>
      <c r="I39" s="86"/>
      <c r="J39" s="86"/>
      <c r="K39" s="86"/>
      <c r="L39" s="86"/>
      <c r="M39" s="86"/>
      <c r="N39" s="86"/>
      <c r="O39" s="86"/>
      <c r="P39" s="87" t="s">
        <v>40</v>
      </c>
      <c r="Q39" s="88" t="n">
        <f aca="false">SUM(Q7:Q38)</f>
        <v>0</v>
      </c>
      <c r="R39" s="89" t="n">
        <f aca="false">SUM(R7:R38)</f>
        <v>0</v>
      </c>
      <c r="S39" s="90"/>
      <c r="T39" s="91"/>
      <c r="U39" s="92" t="n">
        <f aca="false">U38+V38</f>
        <v>0</v>
      </c>
      <c r="V39" s="92"/>
      <c r="W39" s="93"/>
      <c r="X39" s="94"/>
      <c r="Y39" s="95" t="n">
        <f aca="false">C38-U38-V38</f>
        <v>0</v>
      </c>
      <c r="Z39" s="49"/>
      <c r="AA39" s="65"/>
    </row>
    <row r="40" s="51" customFormat="true" ht="30.75" hidden="false" customHeight="true" outlineLevel="0" collapsed="false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49"/>
      <c r="Z40" s="49"/>
      <c r="AA40" s="3"/>
    </row>
    <row r="41" s="51" customFormat="true" ht="60" hidden="false" customHeight="true" outlineLevel="0" collapsed="false">
      <c r="A41" s="97"/>
      <c r="B41" s="97"/>
      <c r="C41" s="98"/>
      <c r="D41" s="98" t="s">
        <v>41</v>
      </c>
      <c r="E41" s="98"/>
      <c r="F41" s="98"/>
      <c r="G41" s="98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9" t="n">
        <f aca="false">R38-R39</f>
        <v>0</v>
      </c>
      <c r="S41" s="97"/>
      <c r="T41" s="97"/>
      <c r="U41" s="97"/>
      <c r="V41" s="97"/>
      <c r="W41" s="97"/>
      <c r="X41" s="97"/>
      <c r="Y41" s="49"/>
      <c r="Z41" s="49"/>
      <c r="AA41" s="3"/>
    </row>
    <row r="42" customFormat="false" ht="24" hidden="false" customHeight="true" outlineLevel="0" collapsed="false"/>
    <row r="43" customFormat="false" ht="24" hidden="false" customHeight="true" outlineLevel="0" collapsed="false"/>
    <row r="44" customFormat="false" ht="24" hidden="false" customHeight="true" outlineLevel="0" collapsed="false"/>
    <row r="45" customFormat="false" ht="24" hidden="false" customHeight="true" outlineLevel="0" collapsed="false"/>
    <row r="46" customFormat="false" ht="24" hidden="false" customHeight="true" outlineLevel="0" collapsed="false"/>
    <row r="47" customFormat="false" ht="24" hidden="false" customHeight="true" outlineLevel="0" collapsed="false"/>
    <row r="48" customFormat="false" ht="24" hidden="false" customHeight="true" outlineLevel="0" collapsed="false"/>
    <row r="49" customFormat="false" ht="24" hidden="false" customHeight="true" outlineLevel="0" collapsed="false"/>
    <row r="50" customFormat="false" ht="24" hidden="false" customHeight="true" outlineLevel="0" collapsed="false"/>
    <row r="51" customFormat="false" ht="24" hidden="false" customHeight="true" outlineLevel="0" collapsed="false"/>
    <row r="52" customFormat="false" ht="24" hidden="false" customHeight="true" outlineLevel="0" collapsed="false"/>
    <row r="53" customFormat="false" ht="24" hidden="false" customHeight="true" outlineLevel="0" collapsed="false"/>
    <row r="54" customFormat="false" ht="24" hidden="false" customHeight="true" outlineLevel="0" collapsed="false"/>
    <row r="55" customFormat="false" ht="24" hidden="false" customHeight="true" outlineLevel="0" collapsed="false"/>
    <row r="56" customFormat="false" ht="24" hidden="false" customHeight="true" outlineLevel="0" collapsed="false"/>
    <row r="57" customFormat="false" ht="24" hidden="false" customHeight="true" outlineLevel="0" collapsed="false"/>
    <row r="58" customFormat="false" ht="24" hidden="false" customHeight="true" outlineLevel="0" collapsed="false"/>
    <row r="59" customFormat="false" ht="24" hidden="false" customHeight="true" outlineLevel="0" collapsed="false"/>
    <row r="60" customFormat="false" ht="24" hidden="false" customHeight="true" outlineLevel="0" collapsed="false"/>
    <row r="61" customFormat="false" ht="24" hidden="false" customHeight="true" outlineLevel="0" collapsed="false"/>
    <row r="62" customFormat="false" ht="24" hidden="false" customHeight="true" outlineLevel="0" collapsed="false"/>
    <row r="63" customFormat="false" ht="24" hidden="false" customHeight="true" outlineLevel="0" collapsed="false"/>
    <row r="64" customFormat="false" ht="24" hidden="false" customHeight="true" outlineLevel="0" collapsed="false"/>
    <row r="65" customFormat="false" ht="24" hidden="false" customHeight="true" outlineLevel="0" collapsed="false"/>
    <row r="66" customFormat="false" ht="24" hidden="false" customHeight="true" outlineLevel="0" collapsed="false"/>
    <row r="67" customFormat="false" ht="24" hidden="false" customHeight="true" outlineLevel="0" collapsed="false"/>
    <row r="68" customFormat="false" ht="24" hidden="false" customHeight="true" outlineLevel="0" collapsed="false"/>
    <row r="69" customFormat="false" ht="24" hidden="false" customHeight="true" outlineLevel="0" collapsed="false"/>
    <row r="70" customFormat="false" ht="24" hidden="false" customHeight="true" outlineLevel="0" collapsed="false"/>
    <row r="71" customFormat="false" ht="24" hidden="false" customHeight="true" outlineLevel="0" collapsed="false"/>
    <row r="72" customFormat="false" ht="24" hidden="false" customHeight="true" outlineLevel="0" collapsed="false"/>
    <row r="73" customFormat="false" ht="24" hidden="false" customHeight="true" outlineLevel="0" collapsed="false"/>
    <row r="74" customFormat="false" ht="24" hidden="false" customHeight="true" outlineLevel="0" collapsed="false"/>
    <row r="75" customFormat="false" ht="24" hidden="false" customHeight="true" outlineLevel="0" collapsed="false"/>
    <row r="76" customFormat="false" ht="24" hidden="false" customHeight="true" outlineLevel="0" collapsed="false"/>
    <row r="77" customFormat="false" ht="24" hidden="false" customHeight="true" outlineLevel="0" collapsed="false"/>
    <row r="78" customFormat="false" ht="24" hidden="false" customHeight="true" outlineLevel="0" collapsed="false"/>
    <row r="79" customFormat="false" ht="24" hidden="false" customHeight="true" outlineLevel="0" collapsed="false"/>
    <row r="80" customFormat="false" ht="24" hidden="false" customHeight="true" outlineLevel="0" collapsed="false"/>
    <row r="81" customFormat="false" ht="24" hidden="false" customHeight="true" outlineLevel="0" collapsed="false"/>
    <row r="82" customFormat="false" ht="24" hidden="false" customHeight="true" outlineLevel="0" collapsed="false"/>
    <row r="83" customFormat="false" ht="24" hidden="false" customHeight="true" outlineLevel="0" collapsed="false"/>
    <row r="84" customFormat="false" ht="24" hidden="false" customHeight="true" outlineLevel="0" collapsed="false"/>
    <row r="85" customFormat="false" ht="24" hidden="false" customHeight="true" outlineLevel="0" collapsed="false"/>
    <row r="86" customFormat="false" ht="24" hidden="false" customHeight="true" outlineLevel="0" collapsed="false"/>
    <row r="87" customFormat="false" ht="24" hidden="false" customHeight="true" outlineLevel="0" collapsed="false"/>
    <row r="88" customFormat="false" ht="24" hidden="false" customHeight="true" outlineLevel="0" collapsed="false"/>
    <row r="89" customFormat="false" ht="24" hidden="false" customHeight="true" outlineLevel="0" collapsed="false"/>
    <row r="90" customFormat="false" ht="24" hidden="false" customHeight="true" outlineLevel="0" collapsed="false"/>
    <row r="91" customFormat="false" ht="24" hidden="false" customHeight="true" outlineLevel="0" collapsed="false"/>
    <row r="92" customFormat="false" ht="24" hidden="false" customHeight="true" outlineLevel="0" collapsed="false"/>
    <row r="93" customFormat="false" ht="24" hidden="false" customHeight="true" outlineLevel="0" collapsed="false"/>
    <row r="94" customFormat="false" ht="24" hidden="false" customHeight="true" outlineLevel="0" collapsed="false"/>
    <row r="95" customFormat="false" ht="24" hidden="false" customHeight="true" outlineLevel="0" collapsed="false"/>
    <row r="96" customFormat="false" ht="24" hidden="false" customHeight="true" outlineLevel="0" collapsed="false"/>
    <row r="97" customFormat="false" ht="24" hidden="false" customHeight="true" outlineLevel="0" collapsed="false"/>
    <row r="98" customFormat="false" ht="24" hidden="false" customHeight="true" outlineLevel="0" collapsed="false"/>
    <row r="99" customFormat="false" ht="24" hidden="false" customHeight="true" outlineLevel="0" collapsed="false"/>
    <row r="100" customFormat="false" ht="24" hidden="false" customHeight="true" outlineLevel="0" collapsed="false"/>
    <row r="101" customFormat="false" ht="24" hidden="false" customHeight="true" outlineLevel="0" collapsed="false"/>
    <row r="102" customFormat="false" ht="24" hidden="false" customHeight="true" outlineLevel="0" collapsed="false"/>
    <row r="103" customFormat="false" ht="24" hidden="false" customHeight="true" outlineLevel="0" collapsed="false"/>
    <row r="104" customFormat="false" ht="24" hidden="false" customHeight="true" outlineLevel="0" collapsed="false"/>
    <row r="105" customFormat="false" ht="24" hidden="false" customHeight="true" outlineLevel="0" collapsed="false"/>
    <row r="106" customFormat="false" ht="24" hidden="false" customHeight="true" outlineLevel="0" collapsed="false"/>
    <row r="107" customFormat="false" ht="24" hidden="false" customHeight="true" outlineLevel="0" collapsed="false"/>
    <row r="108" customFormat="false" ht="24" hidden="false" customHeight="true" outlineLevel="0" collapsed="false"/>
    <row r="109" customFormat="false" ht="24" hidden="false" customHeight="true" outlineLevel="0" collapsed="false"/>
    <row r="110" customFormat="false" ht="24" hidden="false" customHeight="true" outlineLevel="0" collapsed="false"/>
    <row r="111" customFormat="false" ht="24" hidden="false" customHeight="true" outlineLevel="0" collapsed="false"/>
    <row r="112" customFormat="false" ht="24" hidden="false" customHeight="true" outlineLevel="0" collapsed="false"/>
    <row r="113" customFormat="false" ht="24" hidden="false" customHeight="true" outlineLevel="0" collapsed="false"/>
    <row r="114" customFormat="false" ht="24" hidden="false" customHeight="true" outlineLevel="0" collapsed="false"/>
    <row r="115" customFormat="false" ht="24" hidden="false" customHeight="true" outlineLevel="0" collapsed="false"/>
    <row r="116" customFormat="false" ht="24" hidden="false" customHeight="true" outlineLevel="0" collapsed="false"/>
    <row r="117" customFormat="false" ht="24" hidden="false" customHeight="true" outlineLevel="0" collapsed="false"/>
    <row r="118" customFormat="false" ht="24" hidden="false" customHeight="true" outlineLevel="0" collapsed="false"/>
    <row r="119" customFormat="false" ht="24" hidden="false" customHeight="true" outlineLevel="0" collapsed="false"/>
    <row r="120" customFormat="false" ht="24" hidden="false" customHeight="true" outlineLevel="0" collapsed="false"/>
    <row r="121" customFormat="false" ht="24" hidden="false" customHeight="true" outlineLevel="0" collapsed="false"/>
    <row r="122" customFormat="false" ht="24" hidden="false" customHeight="true" outlineLevel="0" collapsed="false"/>
    <row r="123" customFormat="false" ht="24" hidden="false" customHeight="true" outlineLevel="0" collapsed="false"/>
    <row r="124" customFormat="false" ht="24" hidden="false" customHeight="true" outlineLevel="0" collapsed="false"/>
    <row r="125" customFormat="false" ht="24" hidden="false" customHeight="true" outlineLevel="0" collapsed="false"/>
    <row r="126" customFormat="false" ht="24" hidden="false" customHeight="true" outlineLevel="0" collapsed="false"/>
    <row r="127" customFormat="false" ht="24" hidden="false" customHeight="true" outlineLevel="0" collapsed="false"/>
    <row r="128" customFormat="false" ht="24" hidden="false" customHeight="true" outlineLevel="0" collapsed="false"/>
    <row r="129" customFormat="false" ht="24" hidden="false" customHeight="true" outlineLevel="0" collapsed="false"/>
    <row r="130" customFormat="false" ht="24" hidden="false" customHeight="true" outlineLevel="0" collapsed="false"/>
    <row r="131" customFormat="false" ht="24" hidden="false" customHeight="true" outlineLevel="0" collapsed="false"/>
    <row r="132" customFormat="false" ht="24" hidden="false" customHeight="true" outlineLevel="0" collapsed="false"/>
    <row r="133" customFormat="false" ht="24" hidden="false" customHeight="true" outlineLevel="0" collapsed="false"/>
    <row r="134" customFormat="false" ht="24" hidden="false" customHeight="true" outlineLevel="0" collapsed="false"/>
    <row r="135" customFormat="false" ht="24" hidden="false" customHeight="true" outlineLevel="0" collapsed="false"/>
    <row r="136" customFormat="false" ht="24" hidden="false" customHeight="true" outlineLevel="0" collapsed="false"/>
    <row r="137" customFormat="false" ht="24" hidden="false" customHeight="true" outlineLevel="0" collapsed="false"/>
    <row r="138" customFormat="false" ht="24" hidden="false" customHeight="true" outlineLevel="0" collapsed="false"/>
    <row r="139" customFormat="false" ht="24" hidden="false" customHeight="true" outlineLevel="0" collapsed="false"/>
    <row r="140" customFormat="false" ht="24" hidden="false" customHeight="true" outlineLevel="0" collapsed="false"/>
    <row r="141" customFormat="false" ht="24" hidden="false" customHeight="true" outlineLevel="0" collapsed="false"/>
    <row r="142" customFormat="false" ht="24" hidden="false" customHeight="true" outlineLevel="0" collapsed="false"/>
    <row r="143" customFormat="false" ht="24" hidden="false" customHeight="true" outlineLevel="0" collapsed="false"/>
    <row r="144" customFormat="false" ht="24" hidden="false" customHeight="true" outlineLevel="0" collapsed="false"/>
    <row r="145" customFormat="false" ht="24" hidden="false" customHeight="true" outlineLevel="0" collapsed="false"/>
    <row r="146" customFormat="false" ht="24" hidden="false" customHeight="true" outlineLevel="0" collapsed="false"/>
    <row r="147" customFormat="false" ht="24" hidden="false" customHeight="true" outlineLevel="0" collapsed="false"/>
    <row r="148" customFormat="false" ht="24" hidden="false" customHeight="true" outlineLevel="0" collapsed="false"/>
    <row r="149" customFormat="false" ht="24" hidden="false" customHeight="true" outlineLevel="0" collapsed="false"/>
    <row r="150" customFormat="false" ht="24" hidden="false" customHeight="true" outlineLevel="0" collapsed="false"/>
    <row r="151" customFormat="false" ht="24" hidden="false" customHeight="true" outlineLevel="0" collapsed="false"/>
    <row r="152" customFormat="false" ht="24" hidden="false" customHeight="true" outlineLevel="0" collapsed="false"/>
    <row r="153" customFormat="false" ht="24" hidden="false" customHeight="true" outlineLevel="0" collapsed="false"/>
    <row r="154" customFormat="false" ht="24" hidden="false" customHeight="true" outlineLevel="0" collapsed="false"/>
    <row r="155" customFormat="false" ht="24" hidden="false" customHeight="true" outlineLevel="0" collapsed="false"/>
    <row r="156" customFormat="false" ht="24" hidden="false" customHeight="true" outlineLevel="0" collapsed="false"/>
    <row r="157" customFormat="false" ht="24" hidden="false" customHeight="true" outlineLevel="0" collapsed="false"/>
    <row r="158" customFormat="false" ht="24" hidden="false" customHeight="true" outlineLevel="0" collapsed="false"/>
    <row r="159" customFormat="false" ht="24" hidden="false" customHeight="true" outlineLevel="0" collapsed="false"/>
    <row r="160" customFormat="false" ht="24" hidden="false" customHeight="true" outlineLevel="0" collapsed="false"/>
    <row r="161" customFormat="false" ht="24" hidden="false" customHeight="true" outlineLevel="0" collapsed="false"/>
    <row r="162" customFormat="false" ht="24" hidden="false" customHeight="true" outlineLevel="0" collapsed="false"/>
    <row r="163" customFormat="false" ht="24" hidden="false" customHeight="true" outlineLevel="0" collapsed="false"/>
    <row r="164" customFormat="false" ht="24" hidden="false" customHeight="true" outlineLevel="0" collapsed="false"/>
    <row r="165" customFormat="false" ht="24" hidden="false" customHeight="true" outlineLevel="0" collapsed="false"/>
    <row r="166" customFormat="false" ht="24" hidden="false" customHeight="true" outlineLevel="0" collapsed="false"/>
    <row r="167" customFormat="false" ht="24" hidden="false" customHeight="true" outlineLevel="0" collapsed="false"/>
    <row r="168" customFormat="false" ht="24" hidden="false" customHeight="true" outlineLevel="0" collapsed="false"/>
    <row r="169" customFormat="false" ht="24" hidden="false" customHeight="true" outlineLevel="0" collapsed="false"/>
    <row r="170" customFormat="false" ht="24" hidden="false" customHeight="true" outlineLevel="0" collapsed="false"/>
    <row r="171" customFormat="false" ht="24" hidden="false" customHeight="true" outlineLevel="0" collapsed="false"/>
    <row r="172" customFormat="false" ht="24" hidden="false" customHeight="true" outlineLevel="0" collapsed="false"/>
    <row r="173" customFormat="false" ht="24" hidden="false" customHeight="true" outlineLevel="0" collapsed="false"/>
    <row r="174" customFormat="false" ht="24" hidden="false" customHeight="true" outlineLevel="0" collapsed="false"/>
    <row r="175" customFormat="false" ht="24" hidden="false" customHeight="true" outlineLevel="0" collapsed="false"/>
    <row r="176" customFormat="false" ht="24" hidden="false" customHeight="true" outlineLevel="0" collapsed="false"/>
    <row r="177" customFormat="false" ht="24" hidden="false" customHeight="true" outlineLevel="0" collapsed="false"/>
    <row r="178" customFormat="false" ht="24" hidden="false" customHeight="true" outlineLevel="0" collapsed="false"/>
    <row r="179" customFormat="false" ht="24" hidden="false" customHeight="true" outlineLevel="0" collapsed="false"/>
    <row r="180" customFormat="false" ht="24" hidden="false" customHeight="true" outlineLevel="0" collapsed="false"/>
    <row r="181" customFormat="false" ht="24" hidden="false" customHeight="true" outlineLevel="0" collapsed="false"/>
    <row r="182" customFormat="false" ht="24" hidden="false" customHeight="true" outlineLevel="0" collapsed="false"/>
    <row r="183" customFormat="false" ht="24" hidden="false" customHeight="true" outlineLevel="0" collapsed="false"/>
    <row r="184" customFormat="false" ht="24" hidden="false" customHeight="true" outlineLevel="0" collapsed="false"/>
    <row r="185" customFormat="false" ht="24" hidden="false" customHeight="true" outlineLevel="0" collapsed="false"/>
    <row r="186" customFormat="false" ht="24" hidden="false" customHeight="true" outlineLevel="0" collapsed="false"/>
    <row r="187" customFormat="false" ht="24" hidden="false" customHeight="true" outlineLevel="0" collapsed="false"/>
    <row r="188" customFormat="false" ht="24" hidden="false" customHeight="true" outlineLevel="0" collapsed="false"/>
    <row r="189" customFormat="false" ht="24" hidden="false" customHeight="true" outlineLevel="0" collapsed="false"/>
    <row r="190" customFormat="false" ht="24" hidden="false" customHeight="true" outlineLevel="0" collapsed="false"/>
    <row r="191" customFormat="false" ht="24" hidden="false" customHeight="true" outlineLevel="0" collapsed="false"/>
    <row r="192" customFormat="false" ht="24" hidden="false" customHeight="true" outlineLevel="0" collapsed="false"/>
    <row r="193" customFormat="false" ht="24" hidden="false" customHeight="true" outlineLevel="0" collapsed="false"/>
    <row r="194" customFormat="false" ht="24" hidden="false" customHeight="true" outlineLevel="0" collapsed="false"/>
    <row r="195" customFormat="false" ht="24" hidden="false" customHeight="true" outlineLevel="0" collapsed="false"/>
    <row r="196" customFormat="false" ht="24" hidden="false" customHeight="true" outlineLevel="0" collapsed="false"/>
    <row r="197" customFormat="false" ht="24" hidden="false" customHeight="true" outlineLevel="0" collapsed="false"/>
    <row r="198" customFormat="false" ht="24" hidden="false" customHeight="true" outlineLevel="0" collapsed="false"/>
    <row r="199" customFormat="false" ht="24" hidden="false" customHeight="true" outlineLevel="0" collapsed="false"/>
    <row r="200" customFormat="false" ht="24" hidden="false" customHeight="true" outlineLevel="0" collapsed="false"/>
    <row r="201" customFormat="false" ht="24" hidden="false" customHeight="true" outlineLevel="0" collapsed="false"/>
    <row r="202" customFormat="false" ht="24" hidden="false" customHeight="true" outlineLevel="0" collapsed="false"/>
    <row r="203" customFormat="false" ht="24" hidden="false" customHeight="true" outlineLevel="0" collapsed="false"/>
    <row r="204" customFormat="false" ht="24" hidden="false" customHeight="true" outlineLevel="0" collapsed="false"/>
    <row r="205" customFormat="false" ht="24" hidden="false" customHeight="true" outlineLevel="0" collapsed="false"/>
    <row r="206" customFormat="false" ht="24" hidden="false" customHeight="true" outlineLevel="0" collapsed="false"/>
    <row r="207" customFormat="false" ht="24" hidden="false" customHeight="true" outlineLevel="0" collapsed="false"/>
    <row r="208" customFormat="false" ht="24" hidden="false" customHeight="true" outlineLevel="0" collapsed="false"/>
    <row r="209" customFormat="false" ht="24" hidden="false" customHeight="true" outlineLevel="0" collapsed="false"/>
    <row r="210" customFormat="false" ht="24" hidden="false" customHeight="true" outlineLevel="0" collapsed="false"/>
    <row r="211" customFormat="false" ht="24" hidden="false" customHeight="true" outlineLevel="0" collapsed="false"/>
    <row r="212" customFormat="false" ht="24" hidden="false" customHeight="true" outlineLevel="0" collapsed="false"/>
    <row r="213" customFormat="false" ht="24" hidden="false" customHeight="true" outlineLevel="0" collapsed="false"/>
    <row r="214" customFormat="false" ht="24" hidden="false" customHeight="true" outlineLevel="0" collapsed="false"/>
    <row r="215" customFormat="false" ht="24" hidden="false" customHeight="true" outlineLevel="0" collapsed="false"/>
    <row r="216" customFormat="false" ht="24" hidden="false" customHeight="true" outlineLevel="0" collapsed="false"/>
    <row r="217" customFormat="false" ht="24" hidden="false" customHeight="true" outlineLevel="0" collapsed="false"/>
    <row r="218" customFormat="false" ht="24" hidden="false" customHeight="true" outlineLevel="0" collapsed="false"/>
    <row r="219" customFormat="false" ht="24" hidden="false" customHeight="true" outlineLevel="0" collapsed="false"/>
    <row r="220" customFormat="false" ht="24" hidden="false" customHeight="true" outlineLevel="0" collapsed="false"/>
    <row r="221" customFormat="false" ht="24" hidden="false" customHeight="true" outlineLevel="0" collapsed="false"/>
    <row r="222" customFormat="false" ht="24" hidden="false" customHeight="true" outlineLevel="0" collapsed="false"/>
    <row r="223" customFormat="false" ht="24" hidden="false" customHeight="true" outlineLevel="0" collapsed="false"/>
    <row r="224" customFormat="false" ht="24" hidden="false" customHeight="true" outlineLevel="0" collapsed="false"/>
    <row r="225" customFormat="false" ht="24" hidden="false" customHeight="true" outlineLevel="0" collapsed="false"/>
    <row r="226" customFormat="false" ht="24" hidden="false" customHeight="true" outlineLevel="0" collapsed="false"/>
    <row r="227" customFormat="false" ht="24" hidden="false" customHeight="true" outlineLevel="0" collapsed="false"/>
    <row r="228" customFormat="false" ht="24" hidden="false" customHeight="true" outlineLevel="0" collapsed="false"/>
    <row r="229" customFormat="false" ht="24" hidden="false" customHeight="true" outlineLevel="0" collapsed="false"/>
    <row r="230" customFormat="false" ht="24" hidden="false" customHeight="true" outlineLevel="0" collapsed="false"/>
    <row r="231" customFormat="false" ht="24" hidden="false" customHeight="true" outlineLevel="0" collapsed="false"/>
    <row r="232" customFormat="false" ht="24" hidden="false" customHeight="true" outlineLevel="0" collapsed="false"/>
    <row r="233" customFormat="false" ht="24" hidden="false" customHeight="true" outlineLevel="0" collapsed="false"/>
    <row r="234" customFormat="false" ht="24" hidden="false" customHeight="true" outlineLevel="0" collapsed="false"/>
    <row r="235" customFormat="false" ht="24" hidden="false" customHeight="true" outlineLevel="0" collapsed="false"/>
    <row r="236" customFormat="false" ht="24" hidden="false" customHeight="true" outlineLevel="0" collapsed="false"/>
    <row r="237" customFormat="false" ht="24" hidden="false" customHeight="true" outlineLevel="0" collapsed="false"/>
    <row r="238" customFormat="false" ht="24" hidden="false" customHeight="true" outlineLevel="0" collapsed="false"/>
    <row r="239" customFormat="false" ht="24" hidden="false" customHeight="true" outlineLevel="0" collapsed="false"/>
    <row r="240" customFormat="false" ht="24" hidden="false" customHeight="true" outlineLevel="0" collapsed="false"/>
    <row r="241" customFormat="false" ht="24" hidden="false" customHeight="true" outlineLevel="0" collapsed="false"/>
    <row r="242" customFormat="false" ht="24" hidden="false" customHeight="true" outlineLevel="0" collapsed="false"/>
    <row r="243" customFormat="false" ht="24" hidden="false" customHeight="true" outlineLevel="0" collapsed="false"/>
    <row r="244" customFormat="false" ht="24" hidden="false" customHeight="true" outlineLevel="0" collapsed="false"/>
    <row r="245" customFormat="false" ht="24" hidden="false" customHeight="true" outlineLevel="0" collapsed="false"/>
    <row r="246" customFormat="false" ht="25.5" hidden="false" customHeight="true" outlineLevel="0" collapsed="false"/>
  </sheetData>
  <mergeCells count="15">
    <mergeCell ref="C2:V2"/>
    <mergeCell ref="H3:S3"/>
    <mergeCell ref="U3:X3"/>
    <mergeCell ref="A4:A5"/>
    <mergeCell ref="B4:C4"/>
    <mergeCell ref="D4:E4"/>
    <mergeCell ref="F4:G4"/>
    <mergeCell ref="H4:I4"/>
    <mergeCell ref="J4:K4"/>
    <mergeCell ref="L4:M4"/>
    <mergeCell ref="N4:N5"/>
    <mergeCell ref="O4:P4"/>
    <mergeCell ref="Q4:R4"/>
    <mergeCell ref="AC6:AC7"/>
    <mergeCell ref="U39:V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D33" activePane="bottomLeft" state="frozen"/>
      <selection pane="topLeft" activeCell="A1" activeCellId="0" sqref="A1"/>
      <selection pane="bottomLeft" activeCell="M44" activeCellId="0" sqref="M44"/>
    </sheetView>
  </sheetViews>
  <sheetFormatPr defaultColWidth="58.2890625" defaultRowHeight="69" zeroHeight="false" outlineLevelRow="0" outlineLevelCol="0"/>
  <sheetData>
    <row r="1" customFormat="false" ht="6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  <c r="AA1" s="3"/>
      <c r="AB1" s="4"/>
      <c r="AC1" s="4"/>
      <c r="AD1" s="4"/>
      <c r="AE1" s="4"/>
    </row>
    <row r="2" customFormat="false" ht="69" hidden="false" customHeight="true" outlineLevel="0" collapsed="false">
      <c r="A2" s="5"/>
      <c r="B2" s="5"/>
      <c r="C2" s="6" t="s">
        <v>58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  <c r="X2" s="8"/>
      <c r="Y2" s="9"/>
      <c r="Z2" s="9"/>
      <c r="AA2" s="10"/>
      <c r="AB2" s="11"/>
      <c r="AC2" s="11"/>
      <c r="AD2" s="11"/>
      <c r="AE2" s="11"/>
    </row>
    <row r="3" customFormat="false" ht="69" hidden="false" customHeight="true" outlineLevel="0" collapsed="false">
      <c r="A3" s="5"/>
      <c r="B3" s="5"/>
      <c r="C3" s="12"/>
      <c r="D3" s="12"/>
      <c r="E3" s="12"/>
      <c r="F3" s="13"/>
      <c r="G3" s="13"/>
      <c r="H3" s="14" t="n">
        <v>46082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2"/>
      <c r="U3" s="15" t="s">
        <v>1</v>
      </c>
      <c r="V3" s="15"/>
      <c r="W3" s="15"/>
      <c r="X3" s="15"/>
      <c r="Y3" s="9"/>
      <c r="Z3" s="9"/>
      <c r="AA3" s="10"/>
      <c r="AB3" s="11"/>
      <c r="AC3" s="11"/>
      <c r="AD3" s="11"/>
      <c r="AE3" s="11"/>
    </row>
    <row r="4" customFormat="false" ht="162" hidden="false" customHeight="true" outlineLevel="0" collapsed="false">
      <c r="A4" s="16" t="s">
        <v>2</v>
      </c>
      <c r="B4" s="17" t="s">
        <v>3</v>
      </c>
      <c r="C4" s="17"/>
      <c r="D4" s="17" t="s">
        <v>4</v>
      </c>
      <c r="E4" s="17"/>
      <c r="F4" s="17" t="s">
        <v>5</v>
      </c>
      <c r="G4" s="17"/>
      <c r="H4" s="17" t="s">
        <v>6</v>
      </c>
      <c r="I4" s="17"/>
      <c r="J4" s="18" t="s">
        <v>7</v>
      </c>
      <c r="K4" s="18"/>
      <c r="L4" s="18" t="s">
        <v>8</v>
      </c>
      <c r="M4" s="18"/>
      <c r="N4" s="19" t="s">
        <v>9</v>
      </c>
      <c r="O4" s="20" t="s">
        <v>10</v>
      </c>
      <c r="P4" s="20"/>
      <c r="Q4" s="21" t="s">
        <v>11</v>
      </c>
      <c r="R4" s="21"/>
      <c r="S4" s="22" t="s">
        <v>12</v>
      </c>
      <c r="T4" s="17"/>
      <c r="U4" s="23" t="s">
        <v>13</v>
      </c>
      <c r="V4" s="24" t="s">
        <v>14</v>
      </c>
      <c r="W4" s="25" t="s">
        <v>15</v>
      </c>
      <c r="X4" s="26" t="s">
        <v>16</v>
      </c>
      <c r="Y4" s="27"/>
      <c r="Z4" s="27"/>
      <c r="AA4" s="28" t="s">
        <v>17</v>
      </c>
      <c r="AB4" s="29"/>
      <c r="AC4" s="29"/>
      <c r="AD4" s="29"/>
      <c r="AE4" s="29"/>
    </row>
    <row r="5" customFormat="false" ht="162" hidden="false" customHeight="true" outlineLevel="0" collapsed="false">
      <c r="A5" s="16"/>
      <c r="B5" s="30" t="s">
        <v>18</v>
      </c>
      <c r="C5" s="31" t="s">
        <v>19</v>
      </c>
      <c r="D5" s="30" t="s">
        <v>18</v>
      </c>
      <c r="E5" s="31" t="s">
        <v>19</v>
      </c>
      <c r="F5" s="30" t="s">
        <v>18</v>
      </c>
      <c r="G5" s="31" t="s">
        <v>19</v>
      </c>
      <c r="H5" s="30" t="s">
        <v>18</v>
      </c>
      <c r="I5" s="31" t="s">
        <v>19</v>
      </c>
      <c r="J5" s="30" t="s">
        <v>18</v>
      </c>
      <c r="K5" s="31" t="s">
        <v>19</v>
      </c>
      <c r="L5" s="30" t="s">
        <v>18</v>
      </c>
      <c r="M5" s="31" t="s">
        <v>19</v>
      </c>
      <c r="N5" s="19"/>
      <c r="O5" s="32" t="s">
        <v>20</v>
      </c>
      <c r="P5" s="33" t="s">
        <v>19</v>
      </c>
      <c r="Q5" s="34" t="s">
        <v>21</v>
      </c>
      <c r="R5" s="35" t="s">
        <v>22</v>
      </c>
      <c r="S5" s="30"/>
      <c r="T5" s="31"/>
      <c r="U5" s="36"/>
      <c r="V5" s="37"/>
      <c r="W5" s="38"/>
      <c r="X5" s="39"/>
      <c r="Y5" s="27"/>
      <c r="Z5" s="27"/>
      <c r="AA5" s="28"/>
      <c r="AB5" s="29"/>
      <c r="AC5" s="29"/>
      <c r="AD5" s="29"/>
      <c r="AE5" s="29"/>
    </row>
    <row r="6" customFormat="false" ht="162" hidden="false" customHeight="true" outlineLevel="0" collapsed="false">
      <c r="A6" s="40" t="s">
        <v>23</v>
      </c>
      <c r="B6" s="41"/>
      <c r="C6" s="42" t="n">
        <v>47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 t="s">
        <v>24</v>
      </c>
      <c r="Q6" s="44"/>
      <c r="R6" s="45"/>
      <c r="S6" s="46"/>
      <c r="T6" s="46"/>
      <c r="U6" s="43"/>
      <c r="V6" s="43"/>
      <c r="W6" s="47"/>
      <c r="X6" s="48"/>
      <c r="Y6" s="49"/>
      <c r="Z6" s="49"/>
      <c r="AA6" s="50" t="n">
        <f aca="false">C6</f>
        <v>47</v>
      </c>
      <c r="AB6" s="51"/>
      <c r="AC6" s="52" t="s">
        <v>25</v>
      </c>
      <c r="AD6" s="51"/>
      <c r="AE6" s="51"/>
    </row>
    <row r="7" customFormat="false" ht="69" hidden="false" customHeight="true" outlineLevel="0" collapsed="false">
      <c r="A7" s="53" t="n">
        <v>46082</v>
      </c>
      <c r="B7" s="54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6"/>
      <c r="Q7" s="57"/>
      <c r="R7" s="57"/>
      <c r="S7" s="59"/>
      <c r="T7" s="60"/>
      <c r="U7" s="61"/>
      <c r="V7" s="62"/>
      <c r="W7" s="63"/>
      <c r="X7" s="103"/>
      <c r="Y7" s="49"/>
      <c r="Z7" s="49"/>
      <c r="AA7" s="65"/>
      <c r="AB7" s="51"/>
      <c r="AC7" s="52"/>
      <c r="AD7" s="66"/>
      <c r="AE7" s="51"/>
    </row>
    <row r="8" customFormat="false" ht="69" hidden="false" customHeight="true" outlineLevel="0" collapsed="false">
      <c r="A8" s="53" t="n">
        <v>46083</v>
      </c>
      <c r="B8" s="54"/>
      <c r="C8" s="67"/>
      <c r="D8" s="67"/>
      <c r="E8" s="55"/>
      <c r="F8" s="67"/>
      <c r="G8" s="67"/>
      <c r="H8" s="67"/>
      <c r="I8" s="55"/>
      <c r="J8" s="55"/>
      <c r="K8" s="55"/>
      <c r="L8" s="55"/>
      <c r="M8" s="55"/>
      <c r="N8" s="55"/>
      <c r="O8" s="55"/>
      <c r="P8" s="56"/>
      <c r="Q8" s="57"/>
      <c r="R8" s="57"/>
      <c r="S8" s="69"/>
      <c r="T8" s="70"/>
      <c r="U8" s="71"/>
      <c r="V8" s="72"/>
      <c r="W8" s="73"/>
      <c r="X8" s="75"/>
      <c r="Y8" s="49"/>
      <c r="Z8" s="49"/>
      <c r="AA8" s="65"/>
      <c r="AB8" s="51"/>
      <c r="AC8" s="51"/>
      <c r="AD8" s="51"/>
      <c r="AE8" s="51"/>
    </row>
    <row r="9" customFormat="false" ht="69" hidden="false" customHeight="true" outlineLevel="0" collapsed="false">
      <c r="A9" s="53" t="n">
        <v>46084</v>
      </c>
      <c r="B9" s="54"/>
      <c r="C9" s="67"/>
      <c r="D9" s="67"/>
      <c r="E9" s="55"/>
      <c r="F9" s="67"/>
      <c r="G9" s="67"/>
      <c r="H9" s="67"/>
      <c r="I9" s="55"/>
      <c r="J9" s="55"/>
      <c r="K9" s="55"/>
      <c r="L9" s="55"/>
      <c r="M9" s="55"/>
      <c r="N9" s="55"/>
      <c r="O9" s="55"/>
      <c r="P9" s="56"/>
      <c r="Q9" s="57"/>
      <c r="R9" s="57"/>
      <c r="S9" s="69"/>
      <c r="T9" s="70"/>
      <c r="U9" s="71"/>
      <c r="V9" s="72"/>
      <c r="W9" s="73"/>
      <c r="X9" s="75"/>
      <c r="Y9" s="49"/>
      <c r="Z9" s="49"/>
      <c r="AA9" s="65"/>
      <c r="AB9" s="51"/>
      <c r="AC9" s="51"/>
      <c r="AD9" s="51"/>
      <c r="AE9" s="51"/>
    </row>
    <row r="10" customFormat="false" ht="69" hidden="false" customHeight="true" outlineLevel="0" collapsed="false">
      <c r="A10" s="53" t="n">
        <v>46085</v>
      </c>
      <c r="B10" s="54"/>
      <c r="C10" s="67"/>
      <c r="D10" s="67"/>
      <c r="E10" s="55"/>
      <c r="F10" s="67"/>
      <c r="G10" s="67"/>
      <c r="H10" s="67"/>
      <c r="I10" s="55"/>
      <c r="J10" s="55"/>
      <c r="K10" s="55"/>
      <c r="L10" s="55"/>
      <c r="M10" s="55"/>
      <c r="N10" s="55"/>
      <c r="O10" s="55"/>
      <c r="P10" s="56"/>
      <c r="Q10" s="57"/>
      <c r="R10" s="57"/>
      <c r="S10" s="69"/>
      <c r="T10" s="70"/>
      <c r="U10" s="71"/>
      <c r="V10" s="72"/>
      <c r="W10" s="73"/>
      <c r="X10" s="75"/>
      <c r="Y10" s="49"/>
      <c r="Z10" s="49"/>
      <c r="AA10" s="65"/>
      <c r="AB10" s="51"/>
      <c r="AC10" s="51"/>
      <c r="AD10" s="51"/>
      <c r="AE10" s="51"/>
    </row>
    <row r="11" customFormat="false" ht="69" hidden="false" customHeight="true" outlineLevel="0" collapsed="false">
      <c r="A11" s="53" t="n">
        <v>46086</v>
      </c>
      <c r="B11" s="54"/>
      <c r="C11" s="67"/>
      <c r="D11" s="67"/>
      <c r="E11" s="55"/>
      <c r="F11" s="67"/>
      <c r="G11" s="67"/>
      <c r="H11" s="67"/>
      <c r="I11" s="55"/>
      <c r="J11" s="55"/>
      <c r="K11" s="55"/>
      <c r="L11" s="55"/>
      <c r="M11" s="55"/>
      <c r="N11" s="55"/>
      <c r="O11" s="55"/>
      <c r="P11" s="56"/>
      <c r="Q11" s="57"/>
      <c r="R11" s="57"/>
      <c r="S11" s="69"/>
      <c r="T11" s="70"/>
      <c r="U11" s="71"/>
      <c r="V11" s="72"/>
      <c r="W11" s="73"/>
      <c r="X11" s="75"/>
      <c r="Y11" s="49"/>
      <c r="Z11" s="49"/>
      <c r="AA11" s="65"/>
      <c r="AB11" s="51"/>
      <c r="AC11" s="51"/>
      <c r="AD11" s="51"/>
      <c r="AE11" s="51"/>
    </row>
    <row r="12" customFormat="false" ht="69" hidden="false" customHeight="true" outlineLevel="0" collapsed="false">
      <c r="A12" s="53" t="n">
        <v>46087</v>
      </c>
      <c r="B12" s="54"/>
      <c r="C12" s="67"/>
      <c r="D12" s="67"/>
      <c r="E12" s="55"/>
      <c r="F12" s="67"/>
      <c r="G12" s="67"/>
      <c r="H12" s="67"/>
      <c r="I12" s="55"/>
      <c r="J12" s="55"/>
      <c r="K12" s="55"/>
      <c r="L12" s="55"/>
      <c r="M12" s="55"/>
      <c r="N12" s="55"/>
      <c r="O12" s="55"/>
      <c r="P12" s="56"/>
      <c r="Q12" s="57"/>
      <c r="R12" s="57"/>
      <c r="S12" s="69"/>
      <c r="T12" s="70"/>
      <c r="U12" s="71"/>
      <c r="V12" s="72"/>
      <c r="W12" s="73"/>
      <c r="X12" s="74"/>
      <c r="Y12" s="49"/>
      <c r="Z12" s="49"/>
      <c r="AA12" s="65"/>
      <c r="AB12" s="51"/>
      <c r="AC12" s="51"/>
      <c r="AD12" s="51"/>
      <c r="AE12" s="51"/>
    </row>
    <row r="13" customFormat="false" ht="69" hidden="false" customHeight="true" outlineLevel="0" collapsed="false">
      <c r="A13" s="53" t="n">
        <v>46088</v>
      </c>
      <c r="B13" s="54"/>
      <c r="C13" s="67"/>
      <c r="D13" s="67"/>
      <c r="E13" s="55"/>
      <c r="F13" s="67"/>
      <c r="G13" s="67"/>
      <c r="H13" s="67"/>
      <c r="I13" s="55"/>
      <c r="J13" s="55"/>
      <c r="K13" s="55"/>
      <c r="L13" s="55"/>
      <c r="M13" s="55"/>
      <c r="N13" s="55"/>
      <c r="O13" s="55"/>
      <c r="P13" s="56"/>
      <c r="Q13" s="57"/>
      <c r="R13" s="57"/>
      <c r="S13" s="69"/>
      <c r="T13" s="70"/>
      <c r="U13" s="71"/>
      <c r="V13" s="72"/>
      <c r="W13" s="73"/>
      <c r="X13" s="75"/>
      <c r="Y13" s="49"/>
      <c r="Z13" s="49"/>
      <c r="AA13" s="65"/>
      <c r="AB13" s="51"/>
      <c r="AC13" s="51"/>
      <c r="AD13" s="51"/>
      <c r="AE13" s="51"/>
    </row>
    <row r="14" customFormat="false" ht="69" hidden="false" customHeight="true" outlineLevel="0" collapsed="false">
      <c r="A14" s="53" t="n">
        <v>46089</v>
      </c>
      <c r="B14" s="54"/>
      <c r="C14" s="67"/>
      <c r="D14" s="67"/>
      <c r="E14" s="55"/>
      <c r="F14" s="67"/>
      <c r="G14" s="67"/>
      <c r="H14" s="67"/>
      <c r="I14" s="55"/>
      <c r="J14" s="55"/>
      <c r="K14" s="55"/>
      <c r="L14" s="55"/>
      <c r="M14" s="55"/>
      <c r="N14" s="55"/>
      <c r="O14" s="55"/>
      <c r="P14" s="56"/>
      <c r="Q14" s="57"/>
      <c r="R14" s="57"/>
      <c r="S14" s="69"/>
      <c r="T14" s="70"/>
      <c r="U14" s="71"/>
      <c r="V14" s="72"/>
      <c r="W14" s="73"/>
      <c r="X14" s="75"/>
      <c r="Y14" s="49"/>
      <c r="Z14" s="49"/>
      <c r="AA14" s="65"/>
      <c r="AB14" s="51"/>
      <c r="AC14" s="51"/>
      <c r="AD14" s="51"/>
      <c r="AE14" s="51"/>
    </row>
    <row r="15" customFormat="false" ht="69" hidden="false" customHeight="true" outlineLevel="0" collapsed="false">
      <c r="A15" s="53" t="n">
        <v>46090</v>
      </c>
      <c r="B15" s="54"/>
      <c r="C15" s="67"/>
      <c r="D15" s="67"/>
      <c r="E15" s="55"/>
      <c r="F15" s="67"/>
      <c r="G15" s="67"/>
      <c r="H15" s="67"/>
      <c r="I15" s="55"/>
      <c r="J15" s="55"/>
      <c r="K15" s="55"/>
      <c r="L15" s="55"/>
      <c r="M15" s="55"/>
      <c r="N15" s="55"/>
      <c r="O15" s="55"/>
      <c r="P15" s="56"/>
      <c r="Q15" s="57"/>
      <c r="R15" s="57"/>
      <c r="S15" s="69"/>
      <c r="T15" s="70"/>
      <c r="U15" s="71"/>
      <c r="V15" s="72"/>
      <c r="W15" s="73"/>
      <c r="X15" s="75"/>
      <c r="Y15" s="49"/>
      <c r="Z15" s="49"/>
      <c r="AA15" s="65"/>
      <c r="AB15" s="51"/>
      <c r="AC15" s="51"/>
      <c r="AD15" s="51"/>
      <c r="AE15" s="51"/>
    </row>
    <row r="16" customFormat="false" ht="69" hidden="false" customHeight="true" outlineLevel="0" collapsed="false">
      <c r="A16" s="53" t="n">
        <v>46091</v>
      </c>
      <c r="B16" s="54"/>
      <c r="C16" s="67"/>
      <c r="D16" s="67"/>
      <c r="E16" s="55"/>
      <c r="F16" s="67"/>
      <c r="G16" s="67"/>
      <c r="H16" s="67"/>
      <c r="I16" s="55"/>
      <c r="J16" s="55"/>
      <c r="K16" s="55"/>
      <c r="L16" s="55"/>
      <c r="M16" s="55"/>
      <c r="N16" s="55"/>
      <c r="O16" s="55"/>
      <c r="P16" s="56"/>
      <c r="Q16" s="57"/>
      <c r="R16" s="57"/>
      <c r="S16" s="69"/>
      <c r="T16" s="70"/>
      <c r="U16" s="71"/>
      <c r="V16" s="72"/>
      <c r="W16" s="73"/>
      <c r="X16" s="75"/>
      <c r="Y16" s="49"/>
      <c r="Z16" s="49"/>
      <c r="AA16" s="65"/>
      <c r="AB16" s="51"/>
      <c r="AC16" s="51"/>
      <c r="AD16" s="51"/>
      <c r="AE16" s="51"/>
    </row>
    <row r="17" customFormat="false" ht="69" hidden="false" customHeight="true" outlineLevel="0" collapsed="false">
      <c r="A17" s="53" t="n">
        <v>46092</v>
      </c>
      <c r="B17" s="54"/>
      <c r="C17" s="67"/>
      <c r="D17" s="67"/>
      <c r="E17" s="55"/>
      <c r="F17" s="67"/>
      <c r="G17" s="67"/>
      <c r="H17" s="67"/>
      <c r="I17" s="55"/>
      <c r="J17" s="55"/>
      <c r="K17" s="55"/>
      <c r="L17" s="55"/>
      <c r="M17" s="55"/>
      <c r="N17" s="55"/>
      <c r="O17" s="55"/>
      <c r="P17" s="56"/>
      <c r="Q17" s="57"/>
      <c r="R17" s="57"/>
      <c r="S17" s="69"/>
      <c r="T17" s="70"/>
      <c r="U17" s="71"/>
      <c r="V17" s="72"/>
      <c r="W17" s="73"/>
      <c r="X17" s="75"/>
      <c r="Y17" s="49"/>
      <c r="Z17" s="49"/>
      <c r="AA17" s="65"/>
      <c r="AB17" s="51"/>
      <c r="AC17" s="51"/>
      <c r="AD17" s="51"/>
      <c r="AE17" s="51"/>
    </row>
    <row r="18" customFormat="false" ht="69" hidden="false" customHeight="true" outlineLevel="0" collapsed="false">
      <c r="A18" s="53" t="n">
        <v>46093</v>
      </c>
      <c r="B18" s="54"/>
      <c r="C18" s="67"/>
      <c r="D18" s="67"/>
      <c r="E18" s="55"/>
      <c r="F18" s="67"/>
      <c r="G18" s="67"/>
      <c r="H18" s="67"/>
      <c r="I18" s="55"/>
      <c r="J18" s="55"/>
      <c r="K18" s="55"/>
      <c r="L18" s="55"/>
      <c r="M18" s="55"/>
      <c r="N18" s="55"/>
      <c r="O18" s="55"/>
      <c r="P18" s="56"/>
      <c r="Q18" s="57"/>
      <c r="R18" s="57"/>
      <c r="S18" s="69"/>
      <c r="T18" s="70"/>
      <c r="U18" s="71"/>
      <c r="V18" s="72"/>
      <c r="W18" s="73"/>
      <c r="X18" s="74"/>
      <c r="Y18" s="49"/>
      <c r="Z18" s="49"/>
      <c r="AA18" s="65"/>
      <c r="AB18" s="51"/>
      <c r="AC18" s="51"/>
      <c r="AD18" s="51"/>
      <c r="AE18" s="51"/>
    </row>
    <row r="19" customFormat="false" ht="69" hidden="false" customHeight="true" outlineLevel="0" collapsed="false">
      <c r="A19" s="53" t="n">
        <v>46094</v>
      </c>
      <c r="B19" s="54"/>
      <c r="C19" s="67"/>
      <c r="D19" s="67"/>
      <c r="E19" s="55"/>
      <c r="F19" s="67"/>
      <c r="G19" s="67"/>
      <c r="H19" s="67"/>
      <c r="I19" s="55"/>
      <c r="J19" s="55"/>
      <c r="K19" s="55"/>
      <c r="L19" s="55"/>
      <c r="M19" s="55"/>
      <c r="N19" s="55"/>
      <c r="O19" s="55"/>
      <c r="P19" s="56"/>
      <c r="Q19" s="57"/>
      <c r="R19" s="57"/>
      <c r="S19" s="69"/>
      <c r="T19" s="70"/>
      <c r="U19" s="71"/>
      <c r="V19" s="72"/>
      <c r="W19" s="73"/>
      <c r="X19" s="75"/>
      <c r="Y19" s="49"/>
      <c r="Z19" s="49"/>
      <c r="AA19" s="65"/>
      <c r="AB19" s="51"/>
      <c r="AC19" s="51"/>
      <c r="AD19" s="51"/>
      <c r="AE19" s="51"/>
    </row>
    <row r="20" customFormat="false" ht="69" hidden="false" customHeight="true" outlineLevel="0" collapsed="false">
      <c r="A20" s="53" t="n">
        <v>46095</v>
      </c>
      <c r="B20" s="54"/>
      <c r="C20" s="67"/>
      <c r="D20" s="67"/>
      <c r="E20" s="55"/>
      <c r="F20" s="67"/>
      <c r="G20" s="67"/>
      <c r="H20" s="67"/>
      <c r="I20" s="55"/>
      <c r="J20" s="55"/>
      <c r="K20" s="55"/>
      <c r="L20" s="55"/>
      <c r="M20" s="55"/>
      <c r="N20" s="55"/>
      <c r="O20" s="55"/>
      <c r="P20" s="56"/>
      <c r="Q20" s="57"/>
      <c r="R20" s="57"/>
      <c r="S20" s="69"/>
      <c r="T20" s="70"/>
      <c r="U20" s="71"/>
      <c r="V20" s="72"/>
      <c r="W20" s="73"/>
      <c r="X20" s="75"/>
      <c r="Y20" s="49"/>
      <c r="Z20" s="49"/>
      <c r="AA20" s="65"/>
      <c r="AB20" s="51"/>
      <c r="AC20" s="51"/>
      <c r="AD20" s="51"/>
      <c r="AE20" s="51"/>
    </row>
    <row r="21" customFormat="false" ht="69" hidden="false" customHeight="true" outlineLevel="0" collapsed="false">
      <c r="A21" s="53" t="n">
        <v>46096</v>
      </c>
      <c r="B21" s="76"/>
      <c r="C21" s="67"/>
      <c r="D21" s="67"/>
      <c r="E21" s="55"/>
      <c r="F21" s="67"/>
      <c r="G21" s="67"/>
      <c r="H21" s="67"/>
      <c r="I21" s="55"/>
      <c r="J21" s="55"/>
      <c r="K21" s="55"/>
      <c r="L21" s="55"/>
      <c r="M21" s="55"/>
      <c r="N21" s="55"/>
      <c r="O21" s="55"/>
      <c r="P21" s="56"/>
      <c r="Q21" s="57"/>
      <c r="R21" s="57"/>
      <c r="S21" s="69"/>
      <c r="T21" s="70"/>
      <c r="U21" s="71"/>
      <c r="V21" s="72"/>
      <c r="W21" s="73"/>
      <c r="X21" s="75"/>
      <c r="Y21" s="49"/>
      <c r="Z21" s="49"/>
      <c r="AA21" s="65"/>
      <c r="AB21" s="51"/>
      <c r="AC21" s="51"/>
      <c r="AD21" s="51"/>
      <c r="AE21" s="51"/>
    </row>
    <row r="22" customFormat="false" ht="69" hidden="false" customHeight="true" outlineLevel="0" collapsed="false">
      <c r="A22" s="53" t="n">
        <v>46097</v>
      </c>
      <c r="B22" s="76"/>
      <c r="C22" s="67"/>
      <c r="D22" s="67"/>
      <c r="E22" s="55"/>
      <c r="F22" s="67"/>
      <c r="G22" s="67"/>
      <c r="H22" s="67"/>
      <c r="I22" s="55"/>
      <c r="J22" s="55"/>
      <c r="K22" s="55"/>
      <c r="L22" s="55"/>
      <c r="M22" s="55"/>
      <c r="N22" s="55"/>
      <c r="O22" s="55"/>
      <c r="P22" s="56"/>
      <c r="Q22" s="57"/>
      <c r="R22" s="57"/>
      <c r="S22" s="69"/>
      <c r="T22" s="70"/>
      <c r="U22" s="71"/>
      <c r="V22" s="72"/>
      <c r="W22" s="73"/>
      <c r="X22" s="75"/>
      <c r="Y22" s="49"/>
      <c r="Z22" s="49"/>
      <c r="AA22" s="65"/>
      <c r="AB22" s="51"/>
      <c r="AC22" s="51"/>
      <c r="AD22" s="51"/>
      <c r="AE22" s="51"/>
    </row>
    <row r="23" customFormat="false" ht="69" hidden="false" customHeight="true" outlineLevel="0" collapsed="false">
      <c r="A23" s="53" t="n">
        <v>46098</v>
      </c>
      <c r="B23" s="76"/>
      <c r="C23" s="67"/>
      <c r="D23" s="67"/>
      <c r="E23" s="55"/>
      <c r="F23" s="67"/>
      <c r="G23" s="67"/>
      <c r="H23" s="67"/>
      <c r="I23" s="55"/>
      <c r="J23" s="55"/>
      <c r="K23" s="55"/>
      <c r="L23" s="55"/>
      <c r="M23" s="55"/>
      <c r="N23" s="55"/>
      <c r="O23" s="55"/>
      <c r="P23" s="56"/>
      <c r="Q23" s="57"/>
      <c r="R23" s="57"/>
      <c r="S23" s="69"/>
      <c r="T23" s="70"/>
      <c r="U23" s="71"/>
      <c r="V23" s="72"/>
      <c r="W23" s="73"/>
      <c r="X23" s="75"/>
      <c r="Y23" s="49"/>
      <c r="Z23" s="49"/>
      <c r="AA23" s="65"/>
      <c r="AB23" s="51"/>
      <c r="AC23" s="51"/>
      <c r="AD23" s="51"/>
      <c r="AE23" s="51"/>
    </row>
    <row r="24" customFormat="false" ht="69" hidden="false" customHeight="true" outlineLevel="0" collapsed="false">
      <c r="A24" s="53" t="n">
        <v>46099</v>
      </c>
      <c r="B24" s="76"/>
      <c r="C24" s="67"/>
      <c r="D24" s="67"/>
      <c r="E24" s="55"/>
      <c r="F24" s="67"/>
      <c r="G24" s="67"/>
      <c r="H24" s="67"/>
      <c r="I24" s="55"/>
      <c r="J24" s="55"/>
      <c r="K24" s="55"/>
      <c r="L24" s="55"/>
      <c r="M24" s="55"/>
      <c r="N24" s="55"/>
      <c r="O24" s="55"/>
      <c r="P24" s="56"/>
      <c r="Q24" s="57"/>
      <c r="R24" s="57"/>
      <c r="S24" s="69"/>
      <c r="T24" s="70"/>
      <c r="U24" s="71"/>
      <c r="V24" s="72"/>
      <c r="W24" s="73"/>
      <c r="X24" s="75"/>
      <c r="Y24" s="49"/>
      <c r="Z24" s="49"/>
      <c r="AA24" s="65"/>
      <c r="AB24" s="51"/>
      <c r="AC24" s="51"/>
      <c r="AD24" s="51"/>
      <c r="AE24" s="51"/>
    </row>
    <row r="25" customFormat="false" ht="69" hidden="false" customHeight="true" outlineLevel="0" collapsed="false">
      <c r="A25" s="53" t="n">
        <v>46100</v>
      </c>
      <c r="B25" s="76"/>
      <c r="C25" s="67"/>
      <c r="D25" s="67"/>
      <c r="E25" s="55"/>
      <c r="F25" s="67"/>
      <c r="G25" s="67"/>
      <c r="H25" s="67"/>
      <c r="I25" s="55"/>
      <c r="J25" s="55"/>
      <c r="K25" s="55"/>
      <c r="L25" s="55"/>
      <c r="M25" s="55"/>
      <c r="N25" s="55"/>
      <c r="O25" s="55"/>
      <c r="P25" s="56"/>
      <c r="Q25" s="57"/>
      <c r="R25" s="57"/>
      <c r="S25" s="69"/>
      <c r="T25" s="70"/>
      <c r="U25" s="71"/>
      <c r="V25" s="72"/>
      <c r="W25" s="73"/>
      <c r="X25" s="75"/>
      <c r="Y25" s="49"/>
      <c r="Z25" s="49"/>
      <c r="AA25" s="65"/>
      <c r="AB25" s="51"/>
      <c r="AC25" s="51"/>
      <c r="AD25" s="51"/>
      <c r="AE25" s="51"/>
    </row>
    <row r="26" customFormat="false" ht="69" hidden="false" customHeight="true" outlineLevel="0" collapsed="false">
      <c r="A26" s="53" t="n">
        <v>46101</v>
      </c>
      <c r="B26" s="76"/>
      <c r="C26" s="67"/>
      <c r="D26" s="67"/>
      <c r="E26" s="55"/>
      <c r="F26" s="67"/>
      <c r="G26" s="67"/>
      <c r="H26" s="67"/>
      <c r="I26" s="55"/>
      <c r="J26" s="55"/>
      <c r="K26" s="55"/>
      <c r="L26" s="55"/>
      <c r="M26" s="55"/>
      <c r="N26" s="55"/>
      <c r="O26" s="55"/>
      <c r="P26" s="56"/>
      <c r="Q26" s="57"/>
      <c r="R26" s="57"/>
      <c r="S26" s="69"/>
      <c r="T26" s="70"/>
      <c r="U26" s="71"/>
      <c r="V26" s="72"/>
      <c r="W26" s="73"/>
      <c r="X26" s="75"/>
      <c r="Y26" s="49"/>
      <c r="Z26" s="49"/>
      <c r="AA26" s="65"/>
      <c r="AB26" s="51"/>
      <c r="AC26" s="51"/>
      <c r="AD26" s="51"/>
      <c r="AE26" s="51"/>
    </row>
    <row r="27" customFormat="false" ht="69" hidden="false" customHeight="true" outlineLevel="0" collapsed="false">
      <c r="A27" s="53" t="n">
        <v>46102</v>
      </c>
      <c r="B27" s="76"/>
      <c r="C27" s="67"/>
      <c r="D27" s="67"/>
      <c r="E27" s="55"/>
      <c r="F27" s="67"/>
      <c r="G27" s="67"/>
      <c r="H27" s="67"/>
      <c r="I27" s="55"/>
      <c r="J27" s="55"/>
      <c r="K27" s="55"/>
      <c r="L27" s="55"/>
      <c r="M27" s="55"/>
      <c r="N27" s="55"/>
      <c r="O27" s="55"/>
      <c r="P27" s="56"/>
      <c r="Q27" s="57"/>
      <c r="R27" s="57"/>
      <c r="S27" s="69"/>
      <c r="T27" s="70"/>
      <c r="U27" s="71"/>
      <c r="V27" s="72"/>
      <c r="W27" s="73"/>
      <c r="X27" s="75"/>
      <c r="Y27" s="49"/>
      <c r="Z27" s="49"/>
      <c r="AA27" s="65"/>
      <c r="AB27" s="51"/>
      <c r="AC27" s="51"/>
      <c r="AD27" s="51"/>
      <c r="AE27" s="51"/>
    </row>
    <row r="28" customFormat="false" ht="69" hidden="false" customHeight="true" outlineLevel="0" collapsed="false">
      <c r="A28" s="53" t="n">
        <v>46103</v>
      </c>
      <c r="B28" s="76"/>
      <c r="C28" s="67"/>
      <c r="D28" s="67"/>
      <c r="E28" s="55"/>
      <c r="F28" s="67"/>
      <c r="G28" s="67"/>
      <c r="H28" s="67"/>
      <c r="I28" s="55"/>
      <c r="J28" s="55"/>
      <c r="K28" s="55"/>
      <c r="L28" s="55"/>
      <c r="M28" s="55"/>
      <c r="N28" s="55"/>
      <c r="O28" s="55"/>
      <c r="P28" s="56"/>
      <c r="Q28" s="57"/>
      <c r="R28" s="57"/>
      <c r="S28" s="69"/>
      <c r="T28" s="70"/>
      <c r="U28" s="71"/>
      <c r="V28" s="72"/>
      <c r="W28" s="73"/>
      <c r="X28" s="74"/>
      <c r="Y28" s="49"/>
      <c r="Z28" s="49"/>
      <c r="AA28" s="65"/>
      <c r="AB28" s="51"/>
      <c r="AC28" s="51"/>
      <c r="AD28" s="51"/>
      <c r="AE28" s="51"/>
    </row>
    <row r="29" customFormat="false" ht="69" hidden="false" customHeight="true" outlineLevel="0" collapsed="false">
      <c r="A29" s="53" t="n">
        <v>46104</v>
      </c>
      <c r="B29" s="76"/>
      <c r="C29" s="67"/>
      <c r="D29" s="67"/>
      <c r="E29" s="55"/>
      <c r="F29" s="67"/>
      <c r="G29" s="67"/>
      <c r="H29" s="67"/>
      <c r="I29" s="55"/>
      <c r="J29" s="55"/>
      <c r="K29" s="55"/>
      <c r="L29" s="55"/>
      <c r="M29" s="55"/>
      <c r="N29" s="55"/>
      <c r="O29" s="55"/>
      <c r="P29" s="56"/>
      <c r="Q29" s="57"/>
      <c r="R29" s="57"/>
      <c r="S29" s="69"/>
      <c r="T29" s="70"/>
      <c r="U29" s="71"/>
      <c r="V29" s="72"/>
      <c r="W29" s="73"/>
      <c r="X29" s="74"/>
      <c r="Y29" s="49"/>
      <c r="Z29" s="49"/>
      <c r="AA29" s="65"/>
      <c r="AB29" s="51"/>
      <c r="AC29" s="51"/>
      <c r="AD29" s="51"/>
      <c r="AE29" s="51"/>
    </row>
    <row r="30" customFormat="false" ht="69" hidden="false" customHeight="true" outlineLevel="0" collapsed="false">
      <c r="A30" s="53" t="n">
        <v>46105</v>
      </c>
      <c r="B30" s="76"/>
      <c r="C30" s="67"/>
      <c r="D30" s="67"/>
      <c r="E30" s="55"/>
      <c r="F30" s="67"/>
      <c r="G30" s="67"/>
      <c r="H30" s="67"/>
      <c r="I30" s="55"/>
      <c r="J30" s="55"/>
      <c r="K30" s="55"/>
      <c r="L30" s="55"/>
      <c r="M30" s="55"/>
      <c r="N30" s="55"/>
      <c r="O30" s="55"/>
      <c r="P30" s="56"/>
      <c r="Q30" s="57"/>
      <c r="R30" s="57"/>
      <c r="S30" s="69"/>
      <c r="T30" s="70"/>
      <c r="U30" s="71"/>
      <c r="V30" s="72"/>
      <c r="W30" s="73"/>
      <c r="X30" s="75"/>
      <c r="Y30" s="49"/>
      <c r="Z30" s="49"/>
      <c r="AA30" s="65"/>
      <c r="AB30" s="51"/>
      <c r="AC30" s="51"/>
      <c r="AD30" s="51"/>
      <c r="AE30" s="51"/>
    </row>
    <row r="31" customFormat="false" ht="69" hidden="false" customHeight="true" outlineLevel="0" collapsed="false">
      <c r="A31" s="53" t="n">
        <v>46106</v>
      </c>
      <c r="B31" s="76"/>
      <c r="C31" s="67"/>
      <c r="D31" s="67"/>
      <c r="E31" s="55"/>
      <c r="F31" s="67"/>
      <c r="G31" s="67"/>
      <c r="H31" s="67"/>
      <c r="I31" s="55"/>
      <c r="J31" s="55"/>
      <c r="K31" s="55"/>
      <c r="L31" s="55"/>
      <c r="M31" s="55"/>
      <c r="N31" s="55"/>
      <c r="O31" s="55"/>
      <c r="P31" s="56"/>
      <c r="Q31" s="57"/>
      <c r="R31" s="57"/>
      <c r="S31" s="69"/>
      <c r="T31" s="70"/>
      <c r="U31" s="71"/>
      <c r="V31" s="72"/>
      <c r="W31" s="73"/>
      <c r="X31" s="75"/>
      <c r="Y31" s="49"/>
      <c r="Z31" s="49"/>
      <c r="AA31" s="65"/>
      <c r="AB31" s="51"/>
      <c r="AC31" s="51"/>
      <c r="AD31" s="51"/>
      <c r="AE31" s="51"/>
    </row>
    <row r="32" customFormat="false" ht="69" hidden="false" customHeight="true" outlineLevel="0" collapsed="false">
      <c r="A32" s="53" t="n">
        <v>46107</v>
      </c>
      <c r="B32" s="76"/>
      <c r="C32" s="67"/>
      <c r="D32" s="67"/>
      <c r="E32" s="55"/>
      <c r="F32" s="67"/>
      <c r="G32" s="67"/>
      <c r="H32" s="67"/>
      <c r="I32" s="55"/>
      <c r="J32" s="55"/>
      <c r="K32" s="55"/>
      <c r="L32" s="55"/>
      <c r="M32" s="55"/>
      <c r="N32" s="55"/>
      <c r="O32" s="55"/>
      <c r="P32" s="56"/>
      <c r="Q32" s="57"/>
      <c r="R32" s="57"/>
      <c r="S32" s="69"/>
      <c r="T32" s="70"/>
      <c r="U32" s="71"/>
      <c r="V32" s="72"/>
      <c r="W32" s="73"/>
      <c r="X32" s="75"/>
      <c r="Y32" s="49"/>
      <c r="Z32" s="49"/>
      <c r="AA32" s="65"/>
      <c r="AB32" s="51"/>
      <c r="AC32" s="51"/>
      <c r="AD32" s="51"/>
      <c r="AE32" s="51"/>
    </row>
    <row r="33" customFormat="false" ht="69" hidden="false" customHeight="true" outlineLevel="0" collapsed="false">
      <c r="A33" s="53" t="n">
        <v>46108</v>
      </c>
      <c r="B33" s="76"/>
      <c r="C33" s="67"/>
      <c r="D33" s="67"/>
      <c r="E33" s="55"/>
      <c r="F33" s="67"/>
      <c r="G33" s="67"/>
      <c r="H33" s="67"/>
      <c r="I33" s="55"/>
      <c r="J33" s="55"/>
      <c r="K33" s="55"/>
      <c r="L33" s="55"/>
      <c r="M33" s="55"/>
      <c r="N33" s="55"/>
      <c r="O33" s="55"/>
      <c r="P33" s="56"/>
      <c r="Q33" s="57"/>
      <c r="R33" s="57"/>
      <c r="S33" s="69"/>
      <c r="T33" s="70"/>
      <c r="U33" s="71"/>
      <c r="V33" s="72"/>
      <c r="W33" s="73"/>
      <c r="X33" s="75"/>
      <c r="Y33" s="49"/>
      <c r="Z33" s="49"/>
      <c r="AA33" s="65"/>
      <c r="AB33" s="51"/>
      <c r="AC33" s="51"/>
      <c r="AD33" s="51"/>
      <c r="AE33" s="51"/>
    </row>
    <row r="34" customFormat="false" ht="69" hidden="false" customHeight="true" outlineLevel="0" collapsed="false">
      <c r="A34" s="53" t="n">
        <v>46109</v>
      </c>
      <c r="B34" s="76"/>
      <c r="C34" s="67"/>
      <c r="D34" s="67"/>
      <c r="E34" s="55"/>
      <c r="F34" s="67"/>
      <c r="G34" s="67"/>
      <c r="H34" s="67"/>
      <c r="I34" s="55"/>
      <c r="J34" s="55"/>
      <c r="K34" s="55"/>
      <c r="L34" s="55"/>
      <c r="M34" s="55"/>
      <c r="N34" s="55"/>
      <c r="O34" s="55"/>
      <c r="P34" s="56"/>
      <c r="Q34" s="57"/>
      <c r="R34" s="57"/>
      <c r="S34" s="69"/>
      <c r="T34" s="70"/>
      <c r="U34" s="71"/>
      <c r="V34" s="72"/>
      <c r="W34" s="73"/>
      <c r="X34" s="74"/>
      <c r="Y34" s="49"/>
      <c r="Z34" s="49"/>
      <c r="AA34" s="65"/>
      <c r="AB34" s="51"/>
      <c r="AC34" s="51"/>
      <c r="AD34" s="51"/>
      <c r="AE34" s="51"/>
    </row>
    <row r="35" customFormat="false" ht="69" hidden="false" customHeight="true" outlineLevel="0" collapsed="false">
      <c r="A35" s="53" t="n">
        <v>46110</v>
      </c>
      <c r="B35" s="76"/>
      <c r="C35" s="67"/>
      <c r="D35" s="67"/>
      <c r="E35" s="55"/>
      <c r="F35" s="67"/>
      <c r="G35" s="67"/>
      <c r="H35" s="67"/>
      <c r="I35" s="55"/>
      <c r="J35" s="55"/>
      <c r="K35" s="55"/>
      <c r="L35" s="55"/>
      <c r="M35" s="55"/>
      <c r="N35" s="55"/>
      <c r="O35" s="55"/>
      <c r="P35" s="56"/>
      <c r="Q35" s="57"/>
      <c r="R35" s="57"/>
      <c r="S35" s="69"/>
      <c r="T35" s="70"/>
      <c r="U35" s="71"/>
      <c r="V35" s="72"/>
      <c r="W35" s="73"/>
      <c r="X35" s="75"/>
      <c r="Y35" s="49"/>
      <c r="Z35" s="49"/>
      <c r="AA35" s="65"/>
      <c r="AB35" s="51"/>
      <c r="AC35" s="51"/>
      <c r="AD35" s="51"/>
      <c r="AE35" s="51"/>
    </row>
    <row r="36" customFormat="false" ht="69" hidden="false" customHeight="true" outlineLevel="0" collapsed="false">
      <c r="A36" s="53" t="n">
        <v>46111</v>
      </c>
      <c r="B36" s="76"/>
      <c r="C36" s="67"/>
      <c r="D36" s="67"/>
      <c r="E36" s="55"/>
      <c r="F36" s="67"/>
      <c r="G36" s="67"/>
      <c r="H36" s="67"/>
      <c r="I36" s="55"/>
      <c r="J36" s="55"/>
      <c r="K36" s="55"/>
      <c r="L36" s="55"/>
      <c r="M36" s="55"/>
      <c r="N36" s="55"/>
      <c r="O36" s="55"/>
      <c r="P36" s="56"/>
      <c r="Q36" s="57"/>
      <c r="R36" s="57"/>
      <c r="S36" s="69"/>
      <c r="T36" s="70"/>
      <c r="U36" s="71"/>
      <c r="V36" s="72"/>
      <c r="W36" s="73"/>
      <c r="X36" s="75"/>
      <c r="Y36" s="49"/>
      <c r="Z36" s="49"/>
      <c r="AA36" s="65"/>
      <c r="AB36" s="51"/>
      <c r="AC36" s="51"/>
      <c r="AD36" s="51"/>
      <c r="AE36" s="51"/>
    </row>
    <row r="37" customFormat="false" ht="69" hidden="false" customHeight="true" outlineLevel="0" collapsed="false">
      <c r="A37" s="53" t="n">
        <v>46112</v>
      </c>
      <c r="B37" s="76" t="n">
        <v>0</v>
      </c>
      <c r="C37" s="67" t="n">
        <v>0</v>
      </c>
      <c r="D37" s="67" t="n">
        <v>1</v>
      </c>
      <c r="E37" s="55" t="n">
        <v>5850</v>
      </c>
      <c r="F37" s="67" t="n">
        <v>0</v>
      </c>
      <c r="G37" s="67" t="n">
        <v>0</v>
      </c>
      <c r="H37" s="67" t="n">
        <v>1</v>
      </c>
      <c r="I37" s="55" t="n">
        <v>3850</v>
      </c>
      <c r="J37" s="55" t="n">
        <v>0</v>
      </c>
      <c r="K37" s="55" t="n">
        <v>0</v>
      </c>
      <c r="L37" s="55" t="n">
        <v>0</v>
      </c>
      <c r="M37" s="55" t="n">
        <v>0</v>
      </c>
      <c r="N37" s="55"/>
      <c r="O37" s="55"/>
      <c r="P37" s="56"/>
      <c r="Q37" s="57"/>
      <c r="R37" s="57"/>
      <c r="S37" s="69" t="s">
        <v>59</v>
      </c>
      <c r="T37" s="70"/>
      <c r="U37" s="71" t="n">
        <v>0</v>
      </c>
      <c r="V37" s="72" t="n">
        <v>0</v>
      </c>
      <c r="W37" s="73" t="n">
        <v>0</v>
      </c>
      <c r="X37" s="75" t="s">
        <v>60</v>
      </c>
      <c r="Y37" s="49"/>
      <c r="Z37" s="49"/>
      <c r="AA37" s="65"/>
      <c r="AB37" s="51"/>
      <c r="AC37" s="51"/>
      <c r="AD37" s="51"/>
      <c r="AE37" s="51"/>
    </row>
    <row r="38" customFormat="false" ht="69" hidden="false" customHeight="true" outlineLevel="0" collapsed="false">
      <c r="A38" s="78"/>
      <c r="B38" s="79" t="n">
        <f aca="false">SUM(B7:B37)</f>
        <v>0</v>
      </c>
      <c r="C38" s="79" t="n">
        <f aca="false">SUM(C7:C37)</f>
        <v>0</v>
      </c>
      <c r="D38" s="79" t="n">
        <f aca="false">SUM(D7:D37)</f>
        <v>1</v>
      </c>
      <c r="E38" s="79" t="n">
        <f aca="false">SUM(E7:E37)</f>
        <v>5850</v>
      </c>
      <c r="F38" s="79" t="n">
        <f aca="false">SUM(F7:F37)</f>
        <v>0</v>
      </c>
      <c r="G38" s="79" t="n">
        <f aca="false">SUM(G7:G37)</f>
        <v>0</v>
      </c>
      <c r="H38" s="79" t="n">
        <f aca="false">SUM(H7:H37)</f>
        <v>1</v>
      </c>
      <c r="I38" s="79" t="n">
        <f aca="false">SUM(I7:I37)</f>
        <v>3850</v>
      </c>
      <c r="J38" s="79" t="n">
        <f aca="false">SUM(J7:J37)</f>
        <v>0</v>
      </c>
      <c r="K38" s="79" t="n">
        <f aca="false">SUM(K7:K37)</f>
        <v>0</v>
      </c>
      <c r="L38" s="79" t="n">
        <f aca="false">SUM(L7:L37)</f>
        <v>0</v>
      </c>
      <c r="M38" s="79" t="n">
        <f aca="false">SUM(M7:M37)</f>
        <v>0</v>
      </c>
      <c r="N38" s="79" t="n">
        <f aca="false">SUM(N7:N37)</f>
        <v>0</v>
      </c>
      <c r="O38" s="79" t="n">
        <f aca="false">SUM(O7:O37)</f>
        <v>0</v>
      </c>
      <c r="P38" s="79" t="n">
        <f aca="false">SUM(P7:P37)</f>
        <v>0</v>
      </c>
      <c r="Q38" s="79" t="n">
        <f aca="false">SUM(Q7:Q37)</f>
        <v>0</v>
      </c>
      <c r="R38" s="79" t="n">
        <f aca="false">SUM(R7:R37)</f>
        <v>0</v>
      </c>
      <c r="S38" s="79" t="n">
        <f aca="false">SUM(S7:S37)</f>
        <v>0</v>
      </c>
      <c r="T38" s="79" t="n">
        <f aca="false">SUM(T7:T37)</f>
        <v>0</v>
      </c>
      <c r="U38" s="79" t="n">
        <f aca="false">SUM(U7:U37)</f>
        <v>0</v>
      </c>
      <c r="V38" s="79" t="n">
        <f aca="false">SUM(V7:V37)</f>
        <v>0</v>
      </c>
      <c r="W38" s="79" t="n">
        <f aca="false">SUM(W7:W37)</f>
        <v>0</v>
      </c>
      <c r="X38" s="80" t="n">
        <f aca="false">SUM(X7:X37)</f>
        <v>0</v>
      </c>
      <c r="Y38" s="81" t="s">
        <v>39</v>
      </c>
      <c r="Z38" s="82"/>
      <c r="AA38" s="83"/>
      <c r="AB38" s="84"/>
      <c r="AC38" s="84"/>
      <c r="AD38" s="84"/>
      <c r="AE38" s="84"/>
    </row>
    <row r="39" customFormat="false" ht="69" hidden="false" customHeight="true" outlineLevel="0" collapsed="false">
      <c r="A39" s="85"/>
      <c r="B39" s="86"/>
      <c r="C39" s="86"/>
      <c r="D39" s="86"/>
      <c r="E39" s="86"/>
      <c r="F39" s="86"/>
      <c r="G39" s="86"/>
      <c r="H39" s="87" t="s">
        <v>40</v>
      </c>
      <c r="I39" s="86"/>
      <c r="J39" s="86"/>
      <c r="K39" s="86"/>
      <c r="L39" s="86"/>
      <c r="M39" s="86"/>
      <c r="N39" s="86"/>
      <c r="O39" s="86"/>
      <c r="P39" s="87" t="s">
        <v>40</v>
      </c>
      <c r="Q39" s="88" t="n">
        <f aca="false">SUM(Q7:Q38)</f>
        <v>0</v>
      </c>
      <c r="R39" s="89" t="n">
        <f aca="false">SUM(R7:R38)</f>
        <v>0</v>
      </c>
      <c r="S39" s="90"/>
      <c r="T39" s="91"/>
      <c r="U39" s="92" t="n">
        <f aca="false">U38+V38</f>
        <v>0</v>
      </c>
      <c r="V39" s="92"/>
      <c r="W39" s="93"/>
      <c r="X39" s="94"/>
      <c r="Y39" s="95" t="n">
        <f aca="false">C38-U38-V38</f>
        <v>0</v>
      </c>
      <c r="Z39" s="49"/>
      <c r="AA39" s="65"/>
      <c r="AB39" s="96"/>
      <c r="AC39" s="96"/>
      <c r="AD39" s="96"/>
      <c r="AE39" s="96"/>
    </row>
    <row r="40" customFormat="false" ht="69" hidden="false" customHeight="true" outlineLevel="0" collapsed="false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49"/>
      <c r="Z40" s="49"/>
      <c r="AA40" s="3"/>
      <c r="AB40" s="51"/>
      <c r="AC40" s="51"/>
      <c r="AD40" s="51"/>
      <c r="AE40" s="51"/>
    </row>
    <row r="41" customFormat="false" ht="69" hidden="false" customHeight="true" outlineLevel="0" collapsed="false">
      <c r="A41" s="97"/>
      <c r="B41" s="97"/>
      <c r="C41" s="98"/>
      <c r="D41" s="98" t="s">
        <v>41</v>
      </c>
      <c r="E41" s="98"/>
      <c r="F41" s="98"/>
      <c r="G41" s="98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9" t="n">
        <f aca="false">R38-R39</f>
        <v>0</v>
      </c>
      <c r="S41" s="97"/>
      <c r="T41" s="97"/>
      <c r="U41" s="97"/>
      <c r="V41" s="97"/>
      <c r="W41" s="97"/>
      <c r="X41" s="97"/>
      <c r="Y41" s="49"/>
      <c r="Z41" s="49"/>
      <c r="AA41" s="3"/>
      <c r="AB41" s="51"/>
      <c r="AC41" s="51"/>
      <c r="AD41" s="51"/>
      <c r="AE41" s="51"/>
    </row>
    <row r="42" customFormat="false" ht="69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 t="s">
        <v>61</v>
      </c>
      <c r="V42" s="1"/>
      <c r="W42" s="1"/>
      <c r="X42" s="1"/>
      <c r="Y42" s="2"/>
      <c r="Z42" s="2"/>
      <c r="AA42" s="3"/>
      <c r="AB42" s="4"/>
      <c r="AC42" s="4"/>
      <c r="AD42" s="4"/>
      <c r="AE42" s="4"/>
    </row>
  </sheetData>
  <mergeCells count="15">
    <mergeCell ref="C2:V2"/>
    <mergeCell ref="H3:S3"/>
    <mergeCell ref="U3:X3"/>
    <mergeCell ref="A4:A5"/>
    <mergeCell ref="B4:C4"/>
    <mergeCell ref="D4:E4"/>
    <mergeCell ref="F4:G4"/>
    <mergeCell ref="H4:I4"/>
    <mergeCell ref="J4:K4"/>
    <mergeCell ref="L4:M4"/>
    <mergeCell ref="N4:N5"/>
    <mergeCell ref="O4:P4"/>
    <mergeCell ref="Q4:R4"/>
    <mergeCell ref="AC6:AC7"/>
    <mergeCell ref="U39:V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D41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27" workbookViewId="0">
      <pane xSplit="1" ySplit="0" topLeftCell="B1" activePane="topRight" state="frozen"/>
      <selection pane="topLeft" activeCell="A1" activeCellId="0" sqref="A1"/>
      <selection pane="topRight" activeCell="G10" activeCellId="0" sqref="G10"/>
    </sheetView>
  </sheetViews>
  <sheetFormatPr defaultColWidth="8.71484375" defaultRowHeight="24" zeroHeight="false" outlineLevelRow="0" outlineLevelCol="0"/>
  <cols>
    <col collapsed="false" customWidth="true" hidden="false" outlineLevel="0" max="2" min="1" style="1" width="51.86"/>
    <col collapsed="false" customWidth="true" hidden="false" outlineLevel="0" max="3" min="3" style="1" width="41.43"/>
    <col collapsed="false" customWidth="true" hidden="false" outlineLevel="0" max="9" min="4" style="1" width="39.86"/>
    <col collapsed="false" customWidth="true" hidden="false" outlineLevel="0" max="11" min="10" style="1" width="38.43"/>
    <col collapsed="false" customWidth="true" hidden="false" outlineLevel="0" max="15" min="12" style="1" width="33.86"/>
    <col collapsed="false" customWidth="true" hidden="false" outlineLevel="0" max="17" min="16" style="1" width="40.14"/>
    <col collapsed="false" customWidth="true" hidden="false" outlineLevel="0" max="18" min="18" style="1" width="50.57"/>
    <col collapsed="false" customWidth="true" hidden="false" outlineLevel="0" max="19" min="19" style="1" width="39.86"/>
    <col collapsed="false" customWidth="true" hidden="false" outlineLevel="0" max="20" min="20" style="1" width="7.86"/>
    <col collapsed="false" customWidth="true" hidden="false" outlineLevel="0" max="21" min="21" style="1" width="47.43"/>
    <col collapsed="false" customWidth="true" hidden="false" outlineLevel="0" max="22" min="22" style="1" width="47.86"/>
    <col collapsed="false" customWidth="true" hidden="false" outlineLevel="0" max="23" min="23" style="1" width="28.86"/>
    <col collapsed="false" customWidth="true" hidden="false" outlineLevel="0" max="24" min="24" style="1" width="106.14"/>
    <col collapsed="false" customWidth="true" hidden="false" outlineLevel="0" max="25" min="25" style="2" width="27.86"/>
    <col collapsed="false" customWidth="true" hidden="false" outlineLevel="0" max="26" min="26" style="2" width="9.14"/>
    <col collapsed="false" customWidth="true" hidden="false" outlineLevel="0" max="27" min="27" style="3" width="37"/>
    <col collapsed="false" customWidth="false" hidden="false" outlineLevel="0" max="28" min="28" style="4" width="8.71"/>
    <col collapsed="false" customWidth="true" hidden="false" outlineLevel="0" max="29" min="29" style="4" width="109.43"/>
    <col collapsed="false" customWidth="true" hidden="false" outlineLevel="0" max="30" min="30" style="4" width="19.86"/>
    <col collapsed="false" customWidth="false" hidden="false" outlineLevel="0" max="16384" min="31" style="4" width="8.71"/>
  </cols>
  <sheetData>
    <row r="2" s="11" customFormat="true" ht="105" hidden="false" customHeight="true" outlineLevel="0" collapsed="false">
      <c r="A2" s="5"/>
      <c r="B2" s="5"/>
      <c r="C2" s="6" t="s">
        <v>62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  <c r="X2" s="8"/>
      <c r="Y2" s="9"/>
      <c r="Z2" s="9"/>
      <c r="AA2" s="10"/>
    </row>
    <row r="3" s="11" customFormat="true" ht="62.25" hidden="false" customHeight="true" outlineLevel="0" collapsed="false">
      <c r="A3" s="5"/>
      <c r="B3" s="5"/>
      <c r="C3" s="12"/>
      <c r="D3" s="12"/>
      <c r="E3" s="12"/>
      <c r="F3" s="13"/>
      <c r="G3" s="13"/>
      <c r="H3" s="14" t="n">
        <v>46082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2"/>
      <c r="U3" s="15" t="s">
        <v>1</v>
      </c>
      <c r="V3" s="15"/>
      <c r="W3" s="15"/>
      <c r="X3" s="15"/>
      <c r="Y3" s="9"/>
      <c r="Z3" s="9"/>
      <c r="AA3" s="10"/>
    </row>
    <row r="4" s="29" customFormat="true" ht="93.75" hidden="false" customHeight="true" outlineLevel="0" collapsed="false">
      <c r="A4" s="16" t="s">
        <v>2</v>
      </c>
      <c r="B4" s="17" t="s">
        <v>3</v>
      </c>
      <c r="C4" s="17"/>
      <c r="D4" s="17" t="s">
        <v>4</v>
      </c>
      <c r="E4" s="17"/>
      <c r="F4" s="17" t="s">
        <v>5</v>
      </c>
      <c r="G4" s="17"/>
      <c r="H4" s="17" t="s">
        <v>6</v>
      </c>
      <c r="I4" s="17"/>
      <c r="J4" s="18" t="s">
        <v>7</v>
      </c>
      <c r="K4" s="18"/>
      <c r="L4" s="18" t="s">
        <v>8</v>
      </c>
      <c r="M4" s="18"/>
      <c r="N4" s="19" t="s">
        <v>9</v>
      </c>
      <c r="O4" s="20" t="s">
        <v>10</v>
      </c>
      <c r="P4" s="20"/>
      <c r="Q4" s="21" t="s">
        <v>11</v>
      </c>
      <c r="R4" s="21"/>
      <c r="S4" s="22" t="s">
        <v>12</v>
      </c>
      <c r="T4" s="17"/>
      <c r="U4" s="23" t="s">
        <v>13</v>
      </c>
      <c r="V4" s="24" t="s">
        <v>14</v>
      </c>
      <c r="W4" s="25" t="s">
        <v>15</v>
      </c>
      <c r="X4" s="26" t="s">
        <v>16</v>
      </c>
      <c r="Y4" s="27"/>
      <c r="Z4" s="27"/>
      <c r="AA4" s="28" t="s">
        <v>17</v>
      </c>
    </row>
    <row r="5" s="29" customFormat="true" ht="93.75" hidden="false" customHeight="true" outlineLevel="0" collapsed="false">
      <c r="A5" s="16"/>
      <c r="B5" s="30" t="s">
        <v>18</v>
      </c>
      <c r="C5" s="31" t="s">
        <v>19</v>
      </c>
      <c r="D5" s="30" t="s">
        <v>18</v>
      </c>
      <c r="E5" s="31" t="s">
        <v>19</v>
      </c>
      <c r="F5" s="30" t="s">
        <v>18</v>
      </c>
      <c r="G5" s="31" t="s">
        <v>19</v>
      </c>
      <c r="H5" s="30" t="s">
        <v>18</v>
      </c>
      <c r="I5" s="31" t="s">
        <v>19</v>
      </c>
      <c r="J5" s="30" t="s">
        <v>18</v>
      </c>
      <c r="K5" s="31" t="s">
        <v>19</v>
      </c>
      <c r="L5" s="30" t="s">
        <v>18</v>
      </c>
      <c r="M5" s="31" t="s">
        <v>19</v>
      </c>
      <c r="N5" s="19"/>
      <c r="O5" s="32" t="s">
        <v>20</v>
      </c>
      <c r="P5" s="33" t="s">
        <v>19</v>
      </c>
      <c r="Q5" s="34" t="s">
        <v>21</v>
      </c>
      <c r="R5" s="35" t="s">
        <v>22</v>
      </c>
      <c r="S5" s="30"/>
      <c r="T5" s="31"/>
      <c r="U5" s="36"/>
      <c r="V5" s="37"/>
      <c r="W5" s="38"/>
      <c r="X5" s="39"/>
      <c r="Y5" s="27"/>
      <c r="Z5" s="27"/>
      <c r="AA5" s="28"/>
    </row>
    <row r="6" s="51" customFormat="true" ht="51.75" hidden="false" customHeight="true" outlineLevel="0" collapsed="false">
      <c r="A6" s="40" t="s">
        <v>23</v>
      </c>
      <c r="B6" s="41"/>
      <c r="C6" s="42" t="n">
        <v>56.5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 t="s">
        <v>24</v>
      </c>
      <c r="Q6" s="44"/>
      <c r="R6" s="45"/>
      <c r="S6" s="46"/>
      <c r="T6" s="46"/>
      <c r="U6" s="43"/>
      <c r="V6" s="43"/>
      <c r="W6" s="47"/>
      <c r="X6" s="48"/>
      <c r="Y6" s="49"/>
      <c r="Z6" s="49"/>
      <c r="AA6" s="50" t="n">
        <f aca="false">C6</f>
        <v>56.5</v>
      </c>
      <c r="AC6" s="52" t="s">
        <v>25</v>
      </c>
    </row>
    <row r="7" s="51" customFormat="true" ht="60" hidden="false" customHeight="true" outlineLevel="0" collapsed="false">
      <c r="A7" s="53" t="n">
        <v>46082</v>
      </c>
      <c r="B7" s="54"/>
      <c r="C7" s="55"/>
      <c r="D7" s="55" t="n">
        <v>2</v>
      </c>
      <c r="E7" s="55" t="n">
        <v>5500</v>
      </c>
      <c r="F7" s="55"/>
      <c r="G7" s="55"/>
      <c r="H7" s="55" t="n">
        <v>16</v>
      </c>
      <c r="I7" s="55" t="n">
        <v>6750</v>
      </c>
      <c r="J7" s="55" t="n">
        <v>1</v>
      </c>
      <c r="K7" s="55" t="n">
        <v>4650</v>
      </c>
      <c r="L7" s="55"/>
      <c r="M7" s="55"/>
      <c r="N7" s="55" t="n">
        <v>13</v>
      </c>
      <c r="O7" s="55"/>
      <c r="P7" s="56"/>
      <c r="Q7" s="57" t="n">
        <v>16.5</v>
      </c>
      <c r="R7" s="57" t="n">
        <v>84350</v>
      </c>
      <c r="S7" s="59" t="s">
        <v>63</v>
      </c>
      <c r="T7" s="60"/>
      <c r="U7" s="61"/>
      <c r="V7" s="62"/>
      <c r="W7" s="63"/>
      <c r="X7" s="103"/>
      <c r="Y7" s="49"/>
      <c r="Z7" s="49"/>
      <c r="AA7" s="65"/>
      <c r="AC7" s="52"/>
      <c r="AD7" s="66"/>
    </row>
    <row r="8" s="51" customFormat="true" ht="60" hidden="false" customHeight="true" outlineLevel="0" collapsed="false">
      <c r="A8" s="53" t="n">
        <v>46083</v>
      </c>
      <c r="B8" s="54"/>
      <c r="C8" s="67"/>
      <c r="D8" s="67" t="n">
        <v>8.5</v>
      </c>
      <c r="E8" s="55" t="n">
        <v>37000</v>
      </c>
      <c r="F8" s="67"/>
      <c r="G8" s="67"/>
      <c r="H8" s="67" t="n">
        <v>9</v>
      </c>
      <c r="I8" s="55" t="n">
        <v>43150</v>
      </c>
      <c r="J8" s="55"/>
      <c r="K8" s="55"/>
      <c r="L8" s="55"/>
      <c r="M8" s="55"/>
      <c r="N8" s="55" t="n">
        <v>21.5</v>
      </c>
      <c r="O8" s="55" t="n">
        <v>1.5</v>
      </c>
      <c r="P8" s="56" t="n">
        <v>7750</v>
      </c>
      <c r="Q8" s="57" t="n">
        <f aca="false">D8+F8+H8+J8+L8</f>
        <v>17.5</v>
      </c>
      <c r="R8" s="57" t="n">
        <f aca="false">E8+G8+I8+K8+M8</f>
        <v>80150</v>
      </c>
      <c r="S8" s="69" t="s">
        <v>64</v>
      </c>
      <c r="T8" s="70"/>
      <c r="U8" s="71"/>
      <c r="V8" s="72"/>
      <c r="W8" s="73"/>
      <c r="X8" s="74" t="s">
        <v>65</v>
      </c>
      <c r="Y8" s="49"/>
      <c r="Z8" s="49"/>
      <c r="AA8" s="65"/>
    </row>
    <row r="9" s="51" customFormat="true" ht="60" hidden="false" customHeight="true" outlineLevel="0" collapsed="false">
      <c r="A9" s="53" t="n">
        <v>46084</v>
      </c>
      <c r="B9" s="54"/>
      <c r="C9" s="67"/>
      <c r="D9" s="67" t="n">
        <v>9</v>
      </c>
      <c r="E9" s="55" t="n">
        <v>38200</v>
      </c>
      <c r="F9" s="67"/>
      <c r="G9" s="67"/>
      <c r="H9" s="67" t="n">
        <v>14</v>
      </c>
      <c r="I9" s="55" t="n">
        <v>52600</v>
      </c>
      <c r="J9" s="55"/>
      <c r="K9" s="55"/>
      <c r="L9" s="55"/>
      <c r="M9" s="55"/>
      <c r="N9" s="55" t="n">
        <v>19</v>
      </c>
      <c r="O9" s="55"/>
      <c r="P9" s="56"/>
      <c r="Q9" s="57" t="n">
        <f aca="false">D9+H9</f>
        <v>23</v>
      </c>
      <c r="R9" s="57" t="n">
        <f aca="false">E9+I9</f>
        <v>90800</v>
      </c>
      <c r="S9" s="69" t="s">
        <v>66</v>
      </c>
      <c r="T9" s="70"/>
      <c r="U9" s="71"/>
      <c r="V9" s="72"/>
      <c r="W9" s="73"/>
      <c r="X9" s="74" t="s">
        <v>67</v>
      </c>
      <c r="Y9" s="49"/>
      <c r="Z9" s="49"/>
      <c r="AA9" s="65"/>
    </row>
    <row r="10" s="51" customFormat="true" ht="60" hidden="false" customHeight="true" outlineLevel="0" collapsed="false">
      <c r="A10" s="53" t="n">
        <v>46085</v>
      </c>
      <c r="B10" s="54"/>
      <c r="C10" s="67"/>
      <c r="D10" s="67" t="n">
        <v>7</v>
      </c>
      <c r="E10" s="55" t="n">
        <v>74200</v>
      </c>
      <c r="F10" s="67"/>
      <c r="G10" s="67"/>
      <c r="H10" s="67" t="n">
        <v>7</v>
      </c>
      <c r="I10" s="55" t="n">
        <v>44700</v>
      </c>
      <c r="J10" s="55"/>
      <c r="K10" s="55"/>
      <c r="L10" s="55"/>
      <c r="M10" s="55"/>
      <c r="N10" s="55" t="n">
        <v>33</v>
      </c>
      <c r="O10" s="55" t="n">
        <v>2</v>
      </c>
      <c r="P10" s="56" t="n">
        <v>8350</v>
      </c>
      <c r="Q10" s="57" t="n">
        <f aca="false">D10+F10+H10+J10+L10</f>
        <v>14</v>
      </c>
      <c r="R10" s="57" t="n">
        <f aca="false">E10+G10+I10+K10+M10</f>
        <v>118900</v>
      </c>
      <c r="S10" s="69" t="s">
        <v>64</v>
      </c>
      <c r="T10" s="70"/>
      <c r="U10" s="71"/>
      <c r="V10" s="72"/>
      <c r="W10" s="73"/>
      <c r="X10" s="75"/>
      <c r="Y10" s="49"/>
      <c r="Z10" s="49"/>
      <c r="AA10" s="65"/>
    </row>
    <row r="11" s="51" customFormat="true" ht="60" hidden="false" customHeight="true" outlineLevel="0" collapsed="false">
      <c r="A11" s="53" t="n">
        <v>46086</v>
      </c>
      <c r="B11" s="54"/>
      <c r="C11" s="67"/>
      <c r="D11" s="67" t="n">
        <v>1</v>
      </c>
      <c r="E11" s="55" t="n">
        <v>6300</v>
      </c>
      <c r="F11" s="67"/>
      <c r="G11" s="67"/>
      <c r="H11" s="67" t="n">
        <v>10.5</v>
      </c>
      <c r="I11" s="55" t="n">
        <v>44000</v>
      </c>
      <c r="J11" s="55"/>
      <c r="K11" s="55"/>
      <c r="L11" s="55"/>
      <c r="M11" s="55"/>
      <c r="N11" s="55" t="n">
        <v>13.5</v>
      </c>
      <c r="O11" s="55" t="n">
        <v>2</v>
      </c>
      <c r="P11" s="56" t="n">
        <v>9750</v>
      </c>
      <c r="Q11" s="57" t="n">
        <v>11.5</v>
      </c>
      <c r="R11" s="57" t="n">
        <v>47300</v>
      </c>
      <c r="S11" s="69" t="s">
        <v>68</v>
      </c>
      <c r="T11" s="70"/>
      <c r="U11" s="71"/>
      <c r="V11" s="72"/>
      <c r="W11" s="73"/>
      <c r="X11" s="102"/>
      <c r="Y11" s="49"/>
      <c r="Z11" s="49"/>
      <c r="AA11" s="65"/>
    </row>
    <row r="12" s="51" customFormat="true" ht="60" hidden="false" customHeight="true" outlineLevel="0" collapsed="false">
      <c r="A12" s="53" t="n">
        <v>46087</v>
      </c>
      <c r="B12" s="54"/>
      <c r="C12" s="67"/>
      <c r="D12" s="67" t="n">
        <v>13.5</v>
      </c>
      <c r="E12" s="55" t="n">
        <v>58700</v>
      </c>
      <c r="F12" s="67"/>
      <c r="G12" s="67"/>
      <c r="H12" s="67" t="n">
        <v>12</v>
      </c>
      <c r="I12" s="55" t="n">
        <v>55750</v>
      </c>
      <c r="J12" s="55"/>
      <c r="K12" s="55"/>
      <c r="L12" s="55"/>
      <c r="M12" s="55"/>
      <c r="N12" s="55" t="n">
        <v>31.5</v>
      </c>
      <c r="O12" s="55" t="n">
        <v>2</v>
      </c>
      <c r="P12" s="56" t="n">
        <v>16900</v>
      </c>
      <c r="Q12" s="57" t="n">
        <v>21</v>
      </c>
      <c r="R12" s="57" t="n">
        <f aca="false">E12+I12</f>
        <v>114450</v>
      </c>
      <c r="S12" s="69" t="s">
        <v>66</v>
      </c>
      <c r="T12" s="70"/>
      <c r="U12" s="71"/>
      <c r="V12" s="72"/>
      <c r="W12" s="73"/>
      <c r="X12" s="74"/>
      <c r="Y12" s="49"/>
      <c r="Z12" s="49"/>
      <c r="AA12" s="65"/>
    </row>
    <row r="13" s="51" customFormat="true" ht="60" hidden="false" customHeight="true" outlineLevel="0" collapsed="false">
      <c r="A13" s="53" t="n">
        <v>46088</v>
      </c>
      <c r="B13" s="54"/>
      <c r="C13" s="67"/>
      <c r="D13" s="67" t="n">
        <v>6.5</v>
      </c>
      <c r="E13" s="55" t="n">
        <v>35000</v>
      </c>
      <c r="F13" s="67"/>
      <c r="G13" s="67"/>
      <c r="H13" s="67" t="n">
        <v>9</v>
      </c>
      <c r="I13" s="55" t="n">
        <v>72600</v>
      </c>
      <c r="J13" s="55"/>
      <c r="K13" s="55"/>
      <c r="L13" s="55"/>
      <c r="M13" s="55"/>
      <c r="N13" s="55" t="n">
        <v>27</v>
      </c>
      <c r="O13" s="55"/>
      <c r="P13" s="56"/>
      <c r="Q13" s="57" t="n">
        <f aca="false">B13+D13+F13+H13+J13+L13</f>
        <v>15.5</v>
      </c>
      <c r="R13" s="57" t="n">
        <f aca="false">C13+E13+G13+I13+K13+M13</f>
        <v>107600</v>
      </c>
      <c r="S13" s="69" t="s">
        <v>68</v>
      </c>
      <c r="T13" s="70"/>
      <c r="U13" s="71"/>
      <c r="V13" s="72"/>
      <c r="W13" s="73"/>
      <c r="X13" s="75"/>
      <c r="Y13" s="49"/>
      <c r="Z13" s="49"/>
      <c r="AA13" s="65"/>
    </row>
    <row r="14" s="51" customFormat="true" ht="60" hidden="false" customHeight="true" outlineLevel="0" collapsed="false">
      <c r="A14" s="53" t="n">
        <v>46089</v>
      </c>
      <c r="B14" s="54"/>
      <c r="C14" s="67"/>
      <c r="D14" s="67" t="n">
        <v>11</v>
      </c>
      <c r="E14" s="55" t="n">
        <v>51550</v>
      </c>
      <c r="F14" s="67"/>
      <c r="G14" s="67"/>
      <c r="H14" s="67" t="n">
        <v>14</v>
      </c>
      <c r="I14" s="55" t="n">
        <v>103200</v>
      </c>
      <c r="J14" s="55"/>
      <c r="K14" s="55"/>
      <c r="L14" s="55"/>
      <c r="M14" s="55"/>
      <c r="N14" s="55" t="n">
        <v>25.5</v>
      </c>
      <c r="O14" s="55" t="n">
        <v>1.5</v>
      </c>
      <c r="P14" s="56" t="n">
        <v>12550</v>
      </c>
      <c r="Q14" s="57" t="n">
        <f aca="false">B14+D14+F14+H14+J14+L14</f>
        <v>25</v>
      </c>
      <c r="R14" s="57" t="n">
        <f aca="false">C14+E14+G14+I14+K14+M14</f>
        <v>154750</v>
      </c>
      <c r="S14" s="69" t="s">
        <v>63</v>
      </c>
      <c r="T14" s="70"/>
      <c r="U14" s="71"/>
      <c r="V14" s="72"/>
      <c r="W14" s="73"/>
      <c r="X14" s="75"/>
      <c r="Y14" s="49"/>
      <c r="Z14" s="49"/>
      <c r="AA14" s="65"/>
    </row>
    <row r="15" s="51" customFormat="true" ht="60" hidden="false" customHeight="true" outlineLevel="0" collapsed="false">
      <c r="A15" s="53" t="n">
        <v>46090</v>
      </c>
      <c r="B15" s="54"/>
      <c r="C15" s="67"/>
      <c r="D15" s="67" t="n">
        <v>5.5</v>
      </c>
      <c r="E15" s="55" t="n">
        <v>40050</v>
      </c>
      <c r="F15" s="67"/>
      <c r="G15" s="67"/>
      <c r="H15" s="67" t="n">
        <v>5.5</v>
      </c>
      <c r="I15" s="55" t="n">
        <v>39950</v>
      </c>
      <c r="J15" s="55"/>
      <c r="K15" s="55"/>
      <c r="L15" s="55"/>
      <c r="M15" s="55"/>
      <c r="N15" s="55" t="n">
        <v>18.5</v>
      </c>
      <c r="O15" s="55"/>
      <c r="P15" s="56"/>
      <c r="Q15" s="57" t="n">
        <f aca="false">B15+D15+F15+H15+J15+L15</f>
        <v>11</v>
      </c>
      <c r="R15" s="57" t="n">
        <f aca="false">C15+E15+G15+I15+K15+M15</f>
        <v>80000</v>
      </c>
      <c r="S15" s="69" t="s">
        <v>64</v>
      </c>
      <c r="T15" s="70"/>
      <c r="U15" s="71"/>
      <c r="V15" s="72"/>
      <c r="W15" s="73"/>
      <c r="X15" s="75"/>
      <c r="Y15" s="49"/>
      <c r="Z15" s="49"/>
      <c r="AA15" s="65"/>
    </row>
    <row r="16" s="51" customFormat="true" ht="60" hidden="false" customHeight="true" outlineLevel="0" collapsed="false">
      <c r="A16" s="53" t="n">
        <v>46091</v>
      </c>
      <c r="B16" s="54"/>
      <c r="C16" s="67"/>
      <c r="D16" s="67" t="n">
        <v>6.5</v>
      </c>
      <c r="E16" s="55" t="n">
        <v>27200</v>
      </c>
      <c r="F16" s="67"/>
      <c r="G16" s="67"/>
      <c r="H16" s="67" t="n">
        <v>7.5</v>
      </c>
      <c r="I16" s="55" t="n">
        <v>42700</v>
      </c>
      <c r="J16" s="55"/>
      <c r="K16" s="55"/>
      <c r="L16" s="55"/>
      <c r="M16" s="55"/>
      <c r="N16" s="55" t="n">
        <v>15</v>
      </c>
      <c r="O16" s="55"/>
      <c r="P16" s="56"/>
      <c r="Q16" s="57" t="n">
        <f aca="false">B16+D16+F16+H16+J16+L16</f>
        <v>14</v>
      </c>
      <c r="R16" s="57" t="n">
        <f aca="false">C16+E16+G16+I16+K16+M16</f>
        <v>69900</v>
      </c>
      <c r="S16" s="69" t="s">
        <v>64</v>
      </c>
      <c r="T16" s="70"/>
      <c r="U16" s="71"/>
      <c r="V16" s="72"/>
      <c r="W16" s="73"/>
      <c r="X16" s="75"/>
      <c r="Y16" s="49"/>
      <c r="Z16" s="49"/>
      <c r="AA16" s="65"/>
    </row>
    <row r="17" s="51" customFormat="true" ht="60" hidden="false" customHeight="true" outlineLevel="0" collapsed="false">
      <c r="A17" s="53" t="n">
        <v>46092</v>
      </c>
      <c r="B17" s="54"/>
      <c r="C17" s="67"/>
      <c r="D17" s="67" t="n">
        <v>3.5</v>
      </c>
      <c r="E17" s="55" t="n">
        <v>11900</v>
      </c>
      <c r="F17" s="67"/>
      <c r="G17" s="67"/>
      <c r="H17" s="67" t="n">
        <v>4.5</v>
      </c>
      <c r="I17" s="55" t="n">
        <v>37800</v>
      </c>
      <c r="J17" s="55"/>
      <c r="K17" s="55"/>
      <c r="L17" s="55"/>
      <c r="M17" s="55"/>
      <c r="N17" s="55" t="n">
        <v>11.5</v>
      </c>
      <c r="O17" s="55" t="n">
        <v>1</v>
      </c>
      <c r="P17" s="56" t="n">
        <v>6150</v>
      </c>
      <c r="Q17" s="57" t="n">
        <f aca="false">B17+D17+F17+H17+J17+L17</f>
        <v>8</v>
      </c>
      <c r="R17" s="57" t="n">
        <f aca="false">C17+E17+G17+I17+K17+M17</f>
        <v>49700</v>
      </c>
      <c r="S17" s="69" t="s">
        <v>64</v>
      </c>
      <c r="T17" s="70"/>
      <c r="U17" s="71"/>
      <c r="V17" s="72"/>
      <c r="W17" s="73"/>
      <c r="X17" s="75"/>
      <c r="Y17" s="49"/>
      <c r="Z17" s="49"/>
      <c r="AA17" s="65"/>
    </row>
    <row r="18" s="51" customFormat="true" ht="60" hidden="false" customHeight="true" outlineLevel="0" collapsed="false">
      <c r="A18" s="53" t="n">
        <v>46093</v>
      </c>
      <c r="B18" s="54"/>
      <c r="C18" s="67"/>
      <c r="D18" s="67" t="n">
        <v>2.5</v>
      </c>
      <c r="E18" s="55" t="n">
        <v>25600</v>
      </c>
      <c r="F18" s="67"/>
      <c r="G18" s="67"/>
      <c r="H18" s="67" t="n">
        <v>6</v>
      </c>
      <c r="I18" s="55" t="n">
        <v>26700</v>
      </c>
      <c r="J18" s="55" t="n">
        <v>1</v>
      </c>
      <c r="K18" s="55" t="n">
        <v>10100</v>
      </c>
      <c r="L18" s="55"/>
      <c r="M18" s="55"/>
      <c r="N18" s="55" t="n">
        <v>10.5</v>
      </c>
      <c r="O18" s="55" t="n">
        <v>11.5</v>
      </c>
      <c r="P18" s="56"/>
      <c r="Q18" s="57" t="n">
        <f aca="false">B18+D18+F18+H18+J18+L18</f>
        <v>9.5</v>
      </c>
      <c r="R18" s="57" t="n">
        <f aca="false">C18+E18+G18+I18+K18+M18</f>
        <v>62400</v>
      </c>
      <c r="S18" s="69" t="s">
        <v>68</v>
      </c>
      <c r="T18" s="70"/>
      <c r="U18" s="71"/>
      <c r="V18" s="72"/>
      <c r="W18" s="73"/>
      <c r="X18" s="74" t="s">
        <v>69</v>
      </c>
      <c r="Y18" s="49"/>
      <c r="Z18" s="49"/>
      <c r="AA18" s="65"/>
    </row>
    <row r="19" s="51" customFormat="true" ht="60" hidden="false" customHeight="true" outlineLevel="0" collapsed="false">
      <c r="A19" s="53" t="n">
        <v>46094</v>
      </c>
      <c r="B19" s="54"/>
      <c r="C19" s="67"/>
      <c r="D19" s="67" t="n">
        <v>5.5</v>
      </c>
      <c r="E19" s="55" t="n">
        <v>35800</v>
      </c>
      <c r="F19" s="67" t="n">
        <v>1.5</v>
      </c>
      <c r="G19" s="67" t="n">
        <v>12100</v>
      </c>
      <c r="H19" s="67" t="n">
        <v>4</v>
      </c>
      <c r="I19" s="55" t="n">
        <v>32300</v>
      </c>
      <c r="J19" s="55"/>
      <c r="K19" s="55"/>
      <c r="L19" s="55"/>
      <c r="M19" s="55"/>
      <c r="N19" s="55" t="n">
        <v>17</v>
      </c>
      <c r="O19" s="55" t="n">
        <v>1</v>
      </c>
      <c r="P19" s="56" t="n">
        <v>4100</v>
      </c>
      <c r="Q19" s="57" t="n">
        <f aca="false">B19+D19+F19+H19+J19+L19</f>
        <v>11</v>
      </c>
      <c r="R19" s="57" t="n">
        <f aca="false">C19+E19+G19+I19+K19+M19</f>
        <v>80200</v>
      </c>
      <c r="S19" s="69" t="s">
        <v>66</v>
      </c>
      <c r="T19" s="70"/>
      <c r="U19" s="71"/>
      <c r="V19" s="72"/>
      <c r="W19" s="73"/>
      <c r="X19" s="75"/>
      <c r="Y19" s="49"/>
      <c r="Z19" s="49"/>
      <c r="AA19" s="65"/>
    </row>
    <row r="20" s="51" customFormat="true" ht="60" hidden="false" customHeight="true" outlineLevel="0" collapsed="false">
      <c r="A20" s="53" t="n">
        <v>46095</v>
      </c>
      <c r="B20" s="54"/>
      <c r="C20" s="67"/>
      <c r="D20" s="67" t="n">
        <v>11</v>
      </c>
      <c r="E20" s="55" t="n">
        <v>71850</v>
      </c>
      <c r="F20" s="67"/>
      <c r="G20" s="67"/>
      <c r="H20" s="67" t="n">
        <v>17</v>
      </c>
      <c r="I20" s="55" t="n">
        <v>147300</v>
      </c>
      <c r="J20" s="55"/>
      <c r="K20" s="55"/>
      <c r="L20" s="55"/>
      <c r="M20" s="55"/>
      <c r="N20" s="55" t="n">
        <v>40.5</v>
      </c>
      <c r="O20" s="55" t="n">
        <v>1</v>
      </c>
      <c r="P20" s="56" t="n">
        <v>5150</v>
      </c>
      <c r="Q20" s="57" t="n">
        <f aca="false">B20+D20+F20+H20+J20+L20</f>
        <v>28</v>
      </c>
      <c r="R20" s="57" t="n">
        <f aca="false">C20+E20+G20+I20+K20+M20</f>
        <v>219150</v>
      </c>
      <c r="S20" s="69" t="s">
        <v>66</v>
      </c>
      <c r="T20" s="70"/>
      <c r="U20" s="71"/>
      <c r="V20" s="72"/>
      <c r="W20" s="73"/>
      <c r="X20" s="75"/>
      <c r="Y20" s="49"/>
      <c r="Z20" s="49"/>
      <c r="AA20" s="65"/>
    </row>
    <row r="21" s="51" customFormat="true" ht="60" hidden="false" customHeight="true" outlineLevel="0" collapsed="false">
      <c r="A21" s="53" t="n">
        <v>46096</v>
      </c>
      <c r="B21" s="76"/>
      <c r="C21" s="67"/>
      <c r="D21" s="67" t="n">
        <v>9</v>
      </c>
      <c r="E21" s="55" t="n">
        <v>39850</v>
      </c>
      <c r="F21" s="67" t="n">
        <v>0</v>
      </c>
      <c r="G21" s="67" t="n">
        <v>0</v>
      </c>
      <c r="H21" s="67" t="n">
        <v>8.5</v>
      </c>
      <c r="I21" s="55" t="n">
        <v>39000</v>
      </c>
      <c r="J21" s="55"/>
      <c r="K21" s="55"/>
      <c r="L21" s="55"/>
      <c r="M21" s="55"/>
      <c r="N21" s="55" t="n">
        <v>15</v>
      </c>
      <c r="O21" s="55" t="n">
        <v>4.5</v>
      </c>
      <c r="P21" s="56" t="n">
        <v>19100</v>
      </c>
      <c r="Q21" s="57" t="n">
        <f aca="false">B21+D21+F21+H21+J21+L21</f>
        <v>17.5</v>
      </c>
      <c r="R21" s="57" t="n">
        <f aca="false">C21+E21+G21+I21+K21+M21</f>
        <v>78850</v>
      </c>
      <c r="S21" s="69" t="s">
        <v>63</v>
      </c>
      <c r="T21" s="70"/>
      <c r="U21" s="71"/>
      <c r="V21" s="72"/>
      <c r="W21" s="73"/>
      <c r="X21" s="75"/>
      <c r="Y21" s="49"/>
      <c r="Z21" s="49"/>
      <c r="AA21" s="65"/>
    </row>
    <row r="22" s="51" customFormat="true" ht="60" hidden="false" customHeight="true" outlineLevel="0" collapsed="false">
      <c r="A22" s="53" t="n">
        <v>46097</v>
      </c>
      <c r="B22" s="76"/>
      <c r="C22" s="67"/>
      <c r="D22" s="67" t="n">
        <v>7</v>
      </c>
      <c r="E22" s="55" t="n">
        <v>59000</v>
      </c>
      <c r="F22" s="67"/>
      <c r="G22" s="67"/>
      <c r="H22" s="67" t="n">
        <v>3</v>
      </c>
      <c r="I22" s="55" t="n">
        <v>15550</v>
      </c>
      <c r="J22" s="55"/>
      <c r="K22" s="55"/>
      <c r="L22" s="55"/>
      <c r="M22" s="55"/>
      <c r="N22" s="55" t="n">
        <v>15.5</v>
      </c>
      <c r="O22" s="55"/>
      <c r="P22" s="56"/>
      <c r="Q22" s="57" t="n">
        <f aca="false">B22+D22+F22+H22+J22+L22</f>
        <v>10</v>
      </c>
      <c r="R22" s="57" t="n">
        <f aca="false">C22+E22+G22+I22+K22+M22</f>
        <v>74550</v>
      </c>
      <c r="S22" s="69" t="s">
        <v>63</v>
      </c>
      <c r="T22" s="70"/>
      <c r="U22" s="71"/>
      <c r="V22" s="72"/>
      <c r="W22" s="73"/>
      <c r="X22" s="102"/>
      <c r="Y22" s="49"/>
      <c r="Z22" s="49"/>
      <c r="AA22" s="65"/>
    </row>
    <row r="23" s="51" customFormat="true" ht="60" hidden="false" customHeight="true" outlineLevel="0" collapsed="false">
      <c r="A23" s="53" t="n">
        <v>46098</v>
      </c>
      <c r="B23" s="76"/>
      <c r="C23" s="67"/>
      <c r="D23" s="67" t="n">
        <v>3.5</v>
      </c>
      <c r="E23" s="55" t="n">
        <v>21450</v>
      </c>
      <c r="F23" s="67"/>
      <c r="G23" s="67"/>
      <c r="H23" s="67" t="n">
        <v>7.5</v>
      </c>
      <c r="I23" s="55" t="n">
        <v>39450</v>
      </c>
      <c r="J23" s="55"/>
      <c r="K23" s="55"/>
      <c r="L23" s="55"/>
      <c r="M23" s="55"/>
      <c r="N23" s="55" t="n">
        <v>9</v>
      </c>
      <c r="O23" s="55"/>
      <c r="P23" s="56"/>
      <c r="Q23" s="57" t="n">
        <f aca="false">B23+D23+F23+H23+J23+L23</f>
        <v>11</v>
      </c>
      <c r="R23" s="57" t="n">
        <f aca="false">C23+E23+G23+I23+K23+M23</f>
        <v>60900</v>
      </c>
      <c r="S23" s="69" t="s">
        <v>66</v>
      </c>
      <c r="T23" s="70"/>
      <c r="U23" s="71"/>
      <c r="V23" s="72"/>
      <c r="W23" s="73"/>
      <c r="X23" s="74" t="s">
        <v>70</v>
      </c>
      <c r="Y23" s="49"/>
      <c r="Z23" s="49"/>
      <c r="AA23" s="65"/>
    </row>
    <row r="24" s="51" customFormat="true" ht="60" hidden="false" customHeight="true" outlineLevel="0" collapsed="false">
      <c r="A24" s="53" t="n">
        <v>46099</v>
      </c>
      <c r="B24" s="76"/>
      <c r="C24" s="67"/>
      <c r="D24" s="67" t="n">
        <v>4</v>
      </c>
      <c r="E24" s="55" t="n">
        <v>12650</v>
      </c>
      <c r="F24" s="67"/>
      <c r="G24" s="67"/>
      <c r="H24" s="67" t="n">
        <v>4.5</v>
      </c>
      <c r="I24" s="55" t="n">
        <v>22450</v>
      </c>
      <c r="J24" s="55"/>
      <c r="K24" s="55"/>
      <c r="L24" s="55"/>
      <c r="M24" s="55"/>
      <c r="N24" s="55" t="n">
        <v>6.5</v>
      </c>
      <c r="O24" s="55" t="n">
        <v>1.5</v>
      </c>
      <c r="P24" s="56" t="n">
        <v>5000</v>
      </c>
      <c r="Q24" s="57" t="n">
        <f aca="false">B24+D24+F24+H24+J24+L24</f>
        <v>8.5</v>
      </c>
      <c r="R24" s="57" t="n">
        <f aca="false">C24+E24+G24+I24+K24+M24</f>
        <v>35100</v>
      </c>
      <c r="S24" s="69" t="s">
        <v>66</v>
      </c>
      <c r="T24" s="70"/>
      <c r="U24" s="71"/>
      <c r="V24" s="72"/>
      <c r="W24" s="73"/>
      <c r="X24" s="75"/>
      <c r="Y24" s="49"/>
      <c r="Z24" s="49"/>
      <c r="AA24" s="65"/>
    </row>
    <row r="25" s="51" customFormat="true" ht="60" hidden="false" customHeight="true" outlineLevel="0" collapsed="false">
      <c r="A25" s="53" t="n">
        <v>46100</v>
      </c>
      <c r="B25" s="76"/>
      <c r="C25" s="67"/>
      <c r="D25" s="67" t="n">
        <v>5</v>
      </c>
      <c r="E25" s="55" t="n">
        <v>17100</v>
      </c>
      <c r="F25" s="67"/>
      <c r="G25" s="67"/>
      <c r="H25" s="67" t="n">
        <v>5</v>
      </c>
      <c r="I25" s="55" t="n">
        <v>19400</v>
      </c>
      <c r="J25" s="55"/>
      <c r="K25" s="55"/>
      <c r="L25" s="55"/>
      <c r="M25" s="55"/>
      <c r="N25" s="55" t="n">
        <v>13</v>
      </c>
      <c r="O25" s="55"/>
      <c r="P25" s="56"/>
      <c r="Q25" s="57" t="n">
        <f aca="false">B25+D25+F25+H25+J25+L25</f>
        <v>10</v>
      </c>
      <c r="R25" s="57" t="n">
        <f aca="false">C25+E25+G25+I25+K25+M25</f>
        <v>36500</v>
      </c>
      <c r="S25" s="69" t="s">
        <v>64</v>
      </c>
      <c r="T25" s="70"/>
      <c r="U25" s="71"/>
      <c r="V25" s="72"/>
      <c r="W25" s="73"/>
      <c r="X25" s="75"/>
      <c r="Y25" s="49"/>
      <c r="Z25" s="49"/>
      <c r="AA25" s="65"/>
    </row>
    <row r="26" s="51" customFormat="true" ht="60" hidden="false" customHeight="true" outlineLevel="0" collapsed="false">
      <c r="A26" s="53" t="n">
        <v>46101</v>
      </c>
      <c r="B26" s="76"/>
      <c r="C26" s="67"/>
      <c r="D26" s="67" t="n">
        <v>3</v>
      </c>
      <c r="E26" s="55" t="n">
        <v>20100</v>
      </c>
      <c r="F26" s="67"/>
      <c r="G26" s="67"/>
      <c r="H26" s="67" t="n">
        <v>9</v>
      </c>
      <c r="I26" s="55" t="n">
        <v>40650</v>
      </c>
      <c r="J26" s="55"/>
      <c r="K26" s="55"/>
      <c r="L26" s="55"/>
      <c r="M26" s="55"/>
      <c r="N26" s="55" t="n">
        <v>12.5</v>
      </c>
      <c r="O26" s="55" t="n">
        <v>1</v>
      </c>
      <c r="P26" s="56" t="n">
        <v>3350</v>
      </c>
      <c r="Q26" s="57" t="n">
        <f aca="false">B26+D26+F26+H26+J26+L26</f>
        <v>12</v>
      </c>
      <c r="R26" s="57" t="n">
        <f aca="false">C26+E26+G26+I26+K26+M26</f>
        <v>60750</v>
      </c>
      <c r="S26" s="69" t="s">
        <v>68</v>
      </c>
      <c r="T26" s="70"/>
      <c r="U26" s="71"/>
      <c r="V26" s="72"/>
      <c r="W26" s="73"/>
      <c r="X26" s="75"/>
      <c r="Y26" s="49"/>
      <c r="Z26" s="49"/>
      <c r="AA26" s="65"/>
    </row>
    <row r="27" s="51" customFormat="true" ht="60" hidden="false" customHeight="true" outlineLevel="0" collapsed="false">
      <c r="A27" s="53" t="n">
        <v>46102</v>
      </c>
      <c r="B27" s="76"/>
      <c r="C27" s="67"/>
      <c r="D27" s="67" t="n">
        <v>4.5</v>
      </c>
      <c r="E27" s="55" t="n">
        <v>51450</v>
      </c>
      <c r="F27" s="67" t="n">
        <v>1</v>
      </c>
      <c r="G27" s="67" t="n">
        <v>6400</v>
      </c>
      <c r="H27" s="67" t="n">
        <v>9.5</v>
      </c>
      <c r="I27" s="55" t="n">
        <v>64600</v>
      </c>
      <c r="J27" s="55" t="n">
        <v>1</v>
      </c>
      <c r="K27" s="55" t="n">
        <v>3500</v>
      </c>
      <c r="L27" s="55"/>
      <c r="M27" s="55"/>
      <c r="N27" s="55" t="n">
        <v>33</v>
      </c>
      <c r="O27" s="55"/>
      <c r="P27" s="56"/>
      <c r="Q27" s="57" t="n">
        <f aca="false">B27+D27+F27+H27+J27+L27</f>
        <v>16</v>
      </c>
      <c r="R27" s="57" t="n">
        <f aca="false">C27+E27+G27+I27+K27+M27</f>
        <v>125950</v>
      </c>
      <c r="S27" s="69" t="s">
        <v>63</v>
      </c>
      <c r="T27" s="70"/>
      <c r="U27" s="71"/>
      <c r="V27" s="72"/>
      <c r="W27" s="73"/>
      <c r="X27" s="75"/>
      <c r="Y27" s="49"/>
      <c r="Z27" s="49"/>
      <c r="AA27" s="65"/>
    </row>
    <row r="28" s="51" customFormat="true" ht="60" hidden="false" customHeight="true" outlineLevel="0" collapsed="false">
      <c r="A28" s="53" t="n">
        <v>46103</v>
      </c>
      <c r="B28" s="76"/>
      <c r="C28" s="67"/>
      <c r="D28" s="67" t="n">
        <v>5</v>
      </c>
      <c r="E28" s="55" t="n">
        <v>32300</v>
      </c>
      <c r="F28" s="67"/>
      <c r="G28" s="67"/>
      <c r="H28" s="67" t="n">
        <v>10.5</v>
      </c>
      <c r="I28" s="55" t="n">
        <v>79500</v>
      </c>
      <c r="J28" s="55"/>
      <c r="K28" s="55"/>
      <c r="L28" s="55"/>
      <c r="M28" s="55"/>
      <c r="N28" s="55" t="n">
        <v>17.5</v>
      </c>
      <c r="O28" s="55"/>
      <c r="P28" s="56"/>
      <c r="Q28" s="57" t="n">
        <f aca="false">B28+D28+F28+H28+J28+L28</f>
        <v>15.5</v>
      </c>
      <c r="R28" s="57" t="n">
        <f aca="false">C28+E28+G28+I28+K28+M28</f>
        <v>111800</v>
      </c>
      <c r="S28" s="69" t="s">
        <v>64</v>
      </c>
      <c r="T28" s="70"/>
      <c r="U28" s="71"/>
      <c r="V28" s="72"/>
      <c r="W28" s="73"/>
      <c r="X28" s="75"/>
      <c r="Y28" s="49"/>
      <c r="Z28" s="49"/>
      <c r="AA28" s="65"/>
    </row>
    <row r="29" s="51" customFormat="true" ht="60" hidden="false" customHeight="true" outlineLevel="0" collapsed="false">
      <c r="A29" s="53" t="n">
        <v>46104</v>
      </c>
      <c r="B29" s="76"/>
      <c r="C29" s="67"/>
      <c r="D29" s="67" t="n">
        <v>3.5</v>
      </c>
      <c r="E29" s="55" t="n">
        <v>17650</v>
      </c>
      <c r="F29" s="67"/>
      <c r="G29" s="67"/>
      <c r="H29" s="67" t="n">
        <v>15.5</v>
      </c>
      <c r="I29" s="55" t="n">
        <v>90650</v>
      </c>
      <c r="J29" s="55" t="n">
        <v>1</v>
      </c>
      <c r="K29" s="55" t="n">
        <v>4900</v>
      </c>
      <c r="L29" s="55"/>
      <c r="M29" s="55"/>
      <c r="N29" s="55" t="n">
        <v>29</v>
      </c>
      <c r="O29" s="55" t="n">
        <v>1.5</v>
      </c>
      <c r="P29" s="56" t="n">
        <v>3750</v>
      </c>
      <c r="Q29" s="57" t="n">
        <f aca="false">B29+D29+F29+H29+J29+L29</f>
        <v>20</v>
      </c>
      <c r="R29" s="57" t="n">
        <f aca="false">C29+E29+G29+I29+K29+M29</f>
        <v>113200</v>
      </c>
      <c r="S29" s="69" t="s">
        <v>64</v>
      </c>
      <c r="T29" s="70"/>
      <c r="U29" s="71"/>
      <c r="V29" s="72"/>
      <c r="W29" s="73"/>
      <c r="X29" s="75"/>
      <c r="Y29" s="49"/>
      <c r="Z29" s="49"/>
      <c r="AA29" s="65"/>
    </row>
    <row r="30" s="51" customFormat="true" ht="60" hidden="false" customHeight="true" outlineLevel="0" collapsed="false">
      <c r="A30" s="53" t="n">
        <v>46105</v>
      </c>
      <c r="B30" s="76"/>
      <c r="C30" s="67"/>
      <c r="D30" s="67" t="n">
        <v>2</v>
      </c>
      <c r="E30" s="55" t="n">
        <v>22200</v>
      </c>
      <c r="F30" s="67"/>
      <c r="G30" s="67"/>
      <c r="H30" s="67" t="n">
        <v>7.5</v>
      </c>
      <c r="I30" s="55" t="n">
        <v>68400</v>
      </c>
      <c r="J30" s="55" t="n">
        <v>1</v>
      </c>
      <c r="K30" s="55" t="n">
        <v>4200</v>
      </c>
      <c r="L30" s="55"/>
      <c r="M30" s="55"/>
      <c r="N30" s="55"/>
      <c r="O30" s="55"/>
      <c r="P30" s="56"/>
      <c r="Q30" s="57" t="n">
        <f aca="false">B30+D30+F30+H30+J30+L30</f>
        <v>10.5</v>
      </c>
      <c r="R30" s="57" t="n">
        <f aca="false">C30+E30+G30+I30+K30+M30</f>
        <v>94800</v>
      </c>
      <c r="S30" s="69" t="s">
        <v>66</v>
      </c>
      <c r="T30" s="70"/>
      <c r="U30" s="71"/>
      <c r="V30" s="72"/>
      <c r="W30" s="73"/>
      <c r="X30" s="74"/>
      <c r="Y30" s="49"/>
      <c r="Z30" s="49"/>
      <c r="AA30" s="65"/>
    </row>
    <row r="31" s="51" customFormat="true" ht="60" hidden="false" customHeight="true" outlineLevel="0" collapsed="false">
      <c r="A31" s="53" t="n">
        <v>46106</v>
      </c>
      <c r="B31" s="76"/>
      <c r="C31" s="67"/>
      <c r="D31" s="67"/>
      <c r="E31" s="55"/>
      <c r="F31" s="67"/>
      <c r="G31" s="67"/>
      <c r="H31" s="67" t="n">
        <v>7.5</v>
      </c>
      <c r="I31" s="55" t="n">
        <v>31850</v>
      </c>
      <c r="J31" s="55"/>
      <c r="K31" s="55"/>
      <c r="L31" s="55"/>
      <c r="M31" s="55"/>
      <c r="N31" s="55" t="n">
        <v>6</v>
      </c>
      <c r="O31" s="55"/>
      <c r="P31" s="56"/>
      <c r="Q31" s="57" t="n">
        <f aca="false">B31+D31+F31+H31+J31+L31</f>
        <v>7.5</v>
      </c>
      <c r="R31" s="57" t="n">
        <f aca="false">C31+E31+G31+I31+K31+M31</f>
        <v>31850</v>
      </c>
      <c r="S31" s="69" t="s">
        <v>66</v>
      </c>
      <c r="T31" s="70"/>
      <c r="U31" s="71"/>
      <c r="V31" s="72"/>
      <c r="W31" s="73"/>
      <c r="X31" s="75"/>
      <c r="Y31" s="49"/>
      <c r="Z31" s="49"/>
      <c r="AA31" s="65"/>
    </row>
    <row r="32" s="51" customFormat="true" ht="60" hidden="false" customHeight="true" outlineLevel="0" collapsed="false">
      <c r="A32" s="53" t="n">
        <v>46107</v>
      </c>
      <c r="B32" s="76"/>
      <c r="C32" s="67"/>
      <c r="D32" s="67" t="n">
        <v>5.5</v>
      </c>
      <c r="E32" s="55" t="n">
        <v>45850</v>
      </c>
      <c r="F32" s="67"/>
      <c r="G32" s="67"/>
      <c r="H32" s="67" t="n">
        <v>11</v>
      </c>
      <c r="I32" s="55" t="n">
        <v>70700</v>
      </c>
      <c r="J32" s="55" t="n">
        <v>1</v>
      </c>
      <c r="K32" s="55" t="n">
        <v>13550</v>
      </c>
      <c r="L32" s="55"/>
      <c r="M32" s="55"/>
      <c r="N32" s="55" t="n">
        <v>20</v>
      </c>
      <c r="O32" s="55" t="n">
        <v>2.5</v>
      </c>
      <c r="P32" s="56" t="n">
        <v>9000</v>
      </c>
      <c r="Q32" s="57" t="n">
        <f aca="false">B32+D32+F32+H32+J32+L32</f>
        <v>17.5</v>
      </c>
      <c r="R32" s="57" t="n">
        <f aca="false">C32+E32+G32+I32+K32+M32</f>
        <v>130100</v>
      </c>
      <c r="S32" s="69" t="s">
        <v>66</v>
      </c>
      <c r="T32" s="70"/>
      <c r="U32" s="71"/>
      <c r="V32" s="72"/>
      <c r="W32" s="73"/>
      <c r="X32" s="75"/>
      <c r="Y32" s="49"/>
      <c r="Z32" s="49"/>
      <c r="AA32" s="65"/>
    </row>
    <row r="33" s="51" customFormat="true" ht="60" hidden="false" customHeight="true" outlineLevel="0" collapsed="false">
      <c r="A33" s="53" t="n">
        <v>46108</v>
      </c>
      <c r="B33" s="76"/>
      <c r="C33" s="67"/>
      <c r="D33" s="67" t="n">
        <v>7.5</v>
      </c>
      <c r="E33" s="55" t="n">
        <v>37700</v>
      </c>
      <c r="F33" s="67"/>
      <c r="G33" s="67"/>
      <c r="H33" s="67" t="n">
        <v>5</v>
      </c>
      <c r="I33" s="55" t="n">
        <v>33400</v>
      </c>
      <c r="J33" s="55"/>
      <c r="K33" s="55"/>
      <c r="L33" s="55"/>
      <c r="M33" s="55"/>
      <c r="N33" s="55" t="n">
        <v>12.5</v>
      </c>
      <c r="O33" s="55"/>
      <c r="P33" s="56"/>
      <c r="Q33" s="57" t="n">
        <f aca="false">B33+D33+F33+H33+J33+L33</f>
        <v>12.5</v>
      </c>
      <c r="R33" s="57" t="n">
        <f aca="false">C33+E33+G33+I33+K33+M33</f>
        <v>71100</v>
      </c>
      <c r="S33" s="69" t="s">
        <v>66</v>
      </c>
      <c r="T33" s="70"/>
      <c r="U33" s="71"/>
      <c r="V33" s="72"/>
      <c r="W33" s="73"/>
      <c r="X33" s="75"/>
      <c r="Y33" s="49"/>
      <c r="Z33" s="49"/>
      <c r="AA33" s="65"/>
    </row>
    <row r="34" s="51" customFormat="true" ht="60" hidden="false" customHeight="true" outlineLevel="0" collapsed="false">
      <c r="A34" s="53" t="n">
        <v>46109</v>
      </c>
      <c r="B34" s="76"/>
      <c r="C34" s="67"/>
      <c r="D34" s="67" t="n">
        <v>6.5</v>
      </c>
      <c r="E34" s="55" t="n">
        <v>24550</v>
      </c>
      <c r="F34" s="67"/>
      <c r="G34" s="67"/>
      <c r="H34" s="67" t="n">
        <v>7.5</v>
      </c>
      <c r="I34" s="55" t="n">
        <v>69050</v>
      </c>
      <c r="J34" s="55"/>
      <c r="K34" s="55"/>
      <c r="L34" s="55"/>
      <c r="M34" s="55"/>
      <c r="N34" s="55" t="n">
        <v>22</v>
      </c>
      <c r="O34" s="55"/>
      <c r="P34" s="56"/>
      <c r="Q34" s="57" t="n">
        <f aca="false">B34+D34+F34+H34+J34+L34</f>
        <v>14</v>
      </c>
      <c r="R34" s="57" t="n">
        <f aca="false">C34+E34+G34+I34+K34+M34</f>
        <v>93600</v>
      </c>
      <c r="S34" s="69" t="s">
        <v>64</v>
      </c>
      <c r="T34" s="70"/>
      <c r="U34" s="71"/>
      <c r="V34" s="72"/>
      <c r="W34" s="73"/>
      <c r="X34" s="74" t="s">
        <v>71</v>
      </c>
      <c r="Y34" s="49"/>
      <c r="Z34" s="49"/>
      <c r="AA34" s="65"/>
    </row>
    <row r="35" s="51" customFormat="true" ht="60" hidden="false" customHeight="true" outlineLevel="0" collapsed="false">
      <c r="A35" s="53" t="n">
        <v>46110</v>
      </c>
      <c r="B35" s="76"/>
      <c r="C35" s="67"/>
      <c r="D35" s="67" t="n">
        <v>4.5</v>
      </c>
      <c r="E35" s="55" t="n">
        <v>14550</v>
      </c>
      <c r="F35" s="67"/>
      <c r="G35" s="67"/>
      <c r="H35" s="67" t="n">
        <v>16</v>
      </c>
      <c r="I35" s="55" t="n">
        <v>113300</v>
      </c>
      <c r="J35" s="55"/>
      <c r="K35" s="55"/>
      <c r="L35" s="55"/>
      <c r="M35" s="55"/>
      <c r="N35" s="55" t="n">
        <v>36</v>
      </c>
      <c r="O35" s="55" t="n">
        <v>2.5</v>
      </c>
      <c r="P35" s="56" t="n">
        <v>12350</v>
      </c>
      <c r="Q35" s="57" t="n">
        <f aca="false">B35+D35+F35+H35+J35+L35</f>
        <v>20.5</v>
      </c>
      <c r="R35" s="57" t="n">
        <f aca="false">C35+E35+G35+I35+K35+M35</f>
        <v>127850</v>
      </c>
      <c r="S35" s="69" t="s">
        <v>64</v>
      </c>
      <c r="T35" s="70"/>
      <c r="U35" s="71"/>
      <c r="V35" s="72"/>
      <c r="W35" s="73"/>
      <c r="X35" s="74" t="s">
        <v>72</v>
      </c>
      <c r="Y35" s="49"/>
      <c r="Z35" s="49"/>
      <c r="AA35" s="65"/>
    </row>
    <row r="36" s="51" customFormat="true" ht="60" hidden="false" customHeight="true" outlineLevel="0" collapsed="false">
      <c r="A36" s="53" t="n">
        <v>46111</v>
      </c>
      <c r="B36" s="76"/>
      <c r="C36" s="67"/>
      <c r="D36" s="67" t="n">
        <v>5</v>
      </c>
      <c r="E36" s="55" t="n">
        <v>33550</v>
      </c>
      <c r="F36" s="67"/>
      <c r="G36" s="67"/>
      <c r="H36" s="67" t="n">
        <v>5.5</v>
      </c>
      <c r="I36" s="55" t="n">
        <v>49850</v>
      </c>
      <c r="J36" s="55"/>
      <c r="K36" s="55"/>
      <c r="L36" s="55"/>
      <c r="M36" s="55"/>
      <c r="N36" s="55" t="n">
        <v>14</v>
      </c>
      <c r="O36" s="55"/>
      <c r="P36" s="56"/>
      <c r="Q36" s="57" t="n">
        <f aca="false">B36+D36+F36+H36+J36+L36</f>
        <v>10.5</v>
      </c>
      <c r="R36" s="57" t="n">
        <f aca="false">C36+E36+G36+I36+K36+M36</f>
        <v>83400</v>
      </c>
      <c r="S36" s="69" t="s">
        <v>63</v>
      </c>
      <c r="T36" s="70"/>
      <c r="U36" s="71"/>
      <c r="V36" s="72"/>
      <c r="W36" s="73"/>
      <c r="X36" s="75"/>
      <c r="Y36" s="49"/>
      <c r="Z36" s="49"/>
      <c r="AA36" s="65"/>
    </row>
    <row r="37" s="51" customFormat="true" ht="60" hidden="false" customHeight="true" outlineLevel="0" collapsed="false">
      <c r="A37" s="53" t="n">
        <v>46112</v>
      </c>
      <c r="B37" s="76"/>
      <c r="C37" s="67"/>
      <c r="D37" s="67" t="n">
        <v>2</v>
      </c>
      <c r="E37" s="55" t="n">
        <v>11600</v>
      </c>
      <c r="F37" s="67" t="n">
        <v>1</v>
      </c>
      <c r="G37" s="67" t="n">
        <v>4850</v>
      </c>
      <c r="H37" s="67" t="n">
        <v>6</v>
      </c>
      <c r="I37" s="55" t="n">
        <v>28000</v>
      </c>
      <c r="J37" s="55"/>
      <c r="K37" s="55"/>
      <c r="L37" s="55"/>
      <c r="M37" s="55"/>
      <c r="N37" s="55" t="n">
        <v>11</v>
      </c>
      <c r="O37" s="55" t="n">
        <v>1</v>
      </c>
      <c r="P37" s="56" t="n">
        <v>4900</v>
      </c>
      <c r="Q37" s="57" t="n">
        <f aca="false">B37+D37+F37+H37+J37+L37</f>
        <v>9</v>
      </c>
      <c r="R37" s="57" t="n">
        <f aca="false">C37+E37+G37+I37+K37+M37</f>
        <v>44450</v>
      </c>
      <c r="S37" s="69" t="s">
        <v>66</v>
      </c>
      <c r="T37" s="70"/>
      <c r="U37" s="71"/>
      <c r="V37" s="72"/>
      <c r="W37" s="73"/>
      <c r="X37" s="74" t="s">
        <v>73</v>
      </c>
      <c r="Y37" s="49"/>
      <c r="Z37" s="49"/>
      <c r="AA37" s="65"/>
    </row>
    <row r="38" s="84" customFormat="true" ht="96.75" hidden="false" customHeight="true" outlineLevel="0" collapsed="false">
      <c r="A38" s="78"/>
      <c r="B38" s="79" t="n">
        <f aca="false">SUM(B7:B37)</f>
        <v>0</v>
      </c>
      <c r="C38" s="79" t="n">
        <f aca="false">SUM(C7:C37)</f>
        <v>0</v>
      </c>
      <c r="D38" s="79" t="n">
        <f aca="false">SUM(D7:D37)</f>
        <v>170.5</v>
      </c>
      <c r="E38" s="79" t="n">
        <f aca="false">SUM(E7:E37)</f>
        <v>980400</v>
      </c>
      <c r="F38" s="79" t="n">
        <f aca="false">SUM(F7:F37)</f>
        <v>3.5</v>
      </c>
      <c r="G38" s="79" t="n">
        <f aca="false">SUM(G7:G37)</f>
        <v>23350</v>
      </c>
      <c r="H38" s="79" t="n">
        <f aca="false">SUM(H7:H37)</f>
        <v>275</v>
      </c>
      <c r="I38" s="79" t="n">
        <f aca="false">SUM(I7:I37)</f>
        <v>1625300</v>
      </c>
      <c r="J38" s="79" t="n">
        <f aca="false">SUM(J7:J37)</f>
        <v>6</v>
      </c>
      <c r="K38" s="79" t="n">
        <f aca="false">SUM(K7:K37)</f>
        <v>40900</v>
      </c>
      <c r="L38" s="79" t="n">
        <f aca="false">SUM(L7:L37)</f>
        <v>0</v>
      </c>
      <c r="M38" s="79" t="n">
        <f aca="false">SUM(M7:M37)</f>
        <v>0</v>
      </c>
      <c r="N38" s="79" t="n">
        <f aca="false">SUM(N7:N37)</f>
        <v>569.5</v>
      </c>
      <c r="O38" s="79" t="n">
        <f aca="false">SUM(O7:O37)</f>
        <v>38</v>
      </c>
      <c r="P38" s="79" t="n">
        <f aca="false">SUM(P7:P37)</f>
        <v>128150</v>
      </c>
      <c r="Q38" s="79" t="n">
        <f aca="false">SUM(Q7:Q37)</f>
        <v>448</v>
      </c>
      <c r="R38" s="104" t="n">
        <f aca="false">SUM(R7:R37)</f>
        <v>2734400</v>
      </c>
      <c r="S38" s="79" t="n">
        <f aca="false">SUM(S7:S37)</f>
        <v>0</v>
      </c>
      <c r="T38" s="79" t="n">
        <f aca="false">SUM(T7:T37)</f>
        <v>0</v>
      </c>
      <c r="U38" s="79" t="n">
        <f aca="false">SUM(U7:U37)</f>
        <v>0</v>
      </c>
      <c r="V38" s="79" t="n">
        <f aca="false">SUM(V7:V37)</f>
        <v>0</v>
      </c>
      <c r="W38" s="79" t="n">
        <f aca="false">SUM(W7:W37)</f>
        <v>0</v>
      </c>
      <c r="X38" s="80" t="n">
        <f aca="false">SUM(X7:X37)</f>
        <v>0</v>
      </c>
      <c r="Y38" s="81" t="s">
        <v>39</v>
      </c>
      <c r="Z38" s="82"/>
      <c r="AA38" s="83"/>
    </row>
    <row r="39" s="96" customFormat="true" ht="109.5" hidden="false" customHeight="true" outlineLevel="0" collapsed="false">
      <c r="A39" s="85"/>
      <c r="B39" s="86"/>
      <c r="C39" s="86"/>
      <c r="D39" s="86"/>
      <c r="E39" s="86"/>
      <c r="F39" s="86"/>
      <c r="G39" s="86"/>
      <c r="H39" s="87" t="s">
        <v>40</v>
      </c>
      <c r="I39" s="86"/>
      <c r="J39" s="86"/>
      <c r="K39" s="86"/>
      <c r="L39" s="86"/>
      <c r="M39" s="86"/>
      <c r="N39" s="86"/>
      <c r="O39" s="86"/>
      <c r="P39" s="87" t="s">
        <v>40</v>
      </c>
      <c r="Q39" s="88" t="n">
        <f aca="false">SUM(Q7:Q38)</f>
        <v>896</v>
      </c>
      <c r="R39" s="89" t="n">
        <f aca="false">SUM(R7:R38)</f>
        <v>5468800</v>
      </c>
      <c r="S39" s="90"/>
      <c r="T39" s="91"/>
      <c r="U39" s="92" t="n">
        <f aca="false">U38+V38</f>
        <v>0</v>
      </c>
      <c r="V39" s="92"/>
      <c r="W39" s="93"/>
      <c r="X39" s="94"/>
      <c r="Y39" s="95" t="n">
        <f aca="false">C38-U38-V38</f>
        <v>0</v>
      </c>
      <c r="Z39" s="49"/>
      <c r="AA39" s="65"/>
    </row>
    <row r="40" s="51" customFormat="true" ht="30.75" hidden="false" customHeight="true" outlineLevel="0" collapsed="false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49"/>
      <c r="Z40" s="49"/>
      <c r="AA40" s="3"/>
    </row>
    <row r="41" s="51" customFormat="true" ht="60" hidden="false" customHeight="true" outlineLevel="0" collapsed="false">
      <c r="A41" s="97"/>
      <c r="B41" s="97"/>
      <c r="C41" s="98"/>
      <c r="D41" s="98" t="s">
        <v>41</v>
      </c>
      <c r="E41" s="98"/>
      <c r="F41" s="98"/>
      <c r="G41" s="98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9" t="n">
        <f aca="false">R38-R39</f>
        <v>-2734400</v>
      </c>
      <c r="S41" s="97"/>
      <c r="T41" s="97"/>
      <c r="U41" s="97"/>
      <c r="V41" s="97"/>
      <c r="W41" s="97"/>
      <c r="X41" s="97"/>
      <c r="Y41" s="49"/>
      <c r="Z41" s="49"/>
      <c r="AA41" s="3"/>
    </row>
  </sheetData>
  <mergeCells count="15">
    <mergeCell ref="C2:V2"/>
    <mergeCell ref="H3:S3"/>
    <mergeCell ref="U3:X3"/>
    <mergeCell ref="A4:A5"/>
    <mergeCell ref="B4:C4"/>
    <mergeCell ref="D4:E4"/>
    <mergeCell ref="F4:G4"/>
    <mergeCell ref="H4:I4"/>
    <mergeCell ref="J4:K4"/>
    <mergeCell ref="L4:M4"/>
    <mergeCell ref="N4:N5"/>
    <mergeCell ref="O4:P4"/>
    <mergeCell ref="Q4:R4"/>
    <mergeCell ref="AC6:AC7"/>
    <mergeCell ref="U39:V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D41"/>
  <sheetViews>
    <sheetView showFormulas="false" showGridLines="true" showRowColHeaders="true" showZeros="true" rightToLeft="false" tabSelected="false" showOutlineSymbols="true" defaultGridColor="true" view="normal" topLeftCell="A1" colorId="64" zoomScale="42" zoomScaleNormal="42" zoomScalePageLayoutView="27" workbookViewId="0">
      <pane xSplit="1" ySplit="5" topLeftCell="D28" activePane="bottomRight" state="frozen"/>
      <selection pane="topLeft" activeCell="A1" activeCellId="0" sqref="A1"/>
      <selection pane="topRight" activeCell="D1" activeCellId="0" sqref="D1"/>
      <selection pane="bottomLeft" activeCell="A28" activeCellId="0" sqref="A28"/>
      <selection pane="bottomRight" activeCell="S37" activeCellId="0" sqref="S37"/>
    </sheetView>
  </sheetViews>
  <sheetFormatPr defaultColWidth="8.71484375" defaultRowHeight="24" zeroHeight="false" outlineLevelRow="0" outlineLevelCol="0"/>
  <cols>
    <col collapsed="false" customWidth="true" hidden="false" outlineLevel="0" max="1" min="1" style="1" width="51.86"/>
    <col collapsed="false" customWidth="true" hidden="false" outlineLevel="0" max="2" min="2" style="1" width="39.43"/>
    <col collapsed="false" customWidth="true" hidden="false" outlineLevel="0" max="3" min="3" style="1" width="41.43"/>
    <col collapsed="false" customWidth="true" hidden="false" outlineLevel="0" max="9" min="4" style="1" width="39.86"/>
    <col collapsed="false" customWidth="true" hidden="false" outlineLevel="0" max="11" min="10" style="1" width="38.43"/>
    <col collapsed="false" customWidth="true" hidden="false" outlineLevel="0" max="15" min="12" style="1" width="33.86"/>
    <col collapsed="false" customWidth="true" hidden="false" outlineLevel="0" max="17" min="16" style="1" width="40.14"/>
    <col collapsed="false" customWidth="true" hidden="false" outlineLevel="0" max="18" min="18" style="1" width="50.57"/>
    <col collapsed="false" customWidth="true" hidden="false" outlineLevel="0" max="19" min="19" style="1" width="39.86"/>
    <col collapsed="false" customWidth="true" hidden="false" outlineLevel="0" max="20" min="20" style="1" width="8.29"/>
    <col collapsed="false" customWidth="true" hidden="false" outlineLevel="0" max="21" min="21" style="1" width="47.43"/>
    <col collapsed="false" customWidth="true" hidden="false" outlineLevel="0" max="22" min="22" style="1" width="47.86"/>
    <col collapsed="false" customWidth="true" hidden="false" outlineLevel="0" max="23" min="23" style="1" width="28.86"/>
    <col collapsed="false" customWidth="true" hidden="false" outlineLevel="0" max="24" min="24" style="1" width="151.86"/>
    <col collapsed="false" customWidth="true" hidden="false" outlineLevel="0" max="25" min="25" style="2" width="27.86"/>
    <col collapsed="false" customWidth="true" hidden="false" outlineLevel="0" max="26" min="26" style="2" width="9.14"/>
    <col collapsed="false" customWidth="true" hidden="false" outlineLevel="0" max="27" min="27" style="3" width="37"/>
    <col collapsed="false" customWidth="false" hidden="false" outlineLevel="0" max="28" min="28" style="4" width="8.71"/>
    <col collapsed="false" customWidth="true" hidden="false" outlineLevel="0" max="29" min="29" style="4" width="109.43"/>
    <col collapsed="false" customWidth="true" hidden="false" outlineLevel="0" max="30" min="30" style="4" width="19.86"/>
    <col collapsed="false" customWidth="false" hidden="false" outlineLevel="0" max="16384" min="31" style="4" width="8.71"/>
  </cols>
  <sheetData>
    <row r="2" s="11" customFormat="true" ht="105" hidden="false" customHeight="true" outlineLevel="0" collapsed="false">
      <c r="A2" s="5"/>
      <c r="B2" s="5"/>
      <c r="C2" s="6" t="s">
        <v>74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  <c r="X2" s="8"/>
      <c r="Y2" s="9"/>
      <c r="Z2" s="9"/>
      <c r="AA2" s="10"/>
    </row>
    <row r="3" s="11" customFormat="true" ht="62.25" hidden="false" customHeight="true" outlineLevel="0" collapsed="false">
      <c r="A3" s="5"/>
      <c r="B3" s="5"/>
      <c r="C3" s="12"/>
      <c r="D3" s="12"/>
      <c r="E3" s="12"/>
      <c r="F3" s="13"/>
      <c r="G3" s="13"/>
      <c r="H3" s="14" t="n">
        <v>46082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2"/>
      <c r="U3" s="15" t="s">
        <v>1</v>
      </c>
      <c r="V3" s="15"/>
      <c r="W3" s="15"/>
      <c r="X3" s="15"/>
      <c r="Y3" s="9"/>
      <c r="Z3" s="9"/>
      <c r="AA3" s="10"/>
    </row>
    <row r="4" s="29" customFormat="true" ht="93.75" hidden="false" customHeight="true" outlineLevel="0" collapsed="false">
      <c r="A4" s="16" t="s">
        <v>2</v>
      </c>
      <c r="B4" s="17" t="s">
        <v>3</v>
      </c>
      <c r="C4" s="17"/>
      <c r="D4" s="17" t="s">
        <v>4</v>
      </c>
      <c r="E4" s="17"/>
      <c r="F4" s="17" t="s">
        <v>5</v>
      </c>
      <c r="G4" s="17"/>
      <c r="H4" s="17" t="s">
        <v>6</v>
      </c>
      <c r="I4" s="17"/>
      <c r="J4" s="18" t="s">
        <v>7</v>
      </c>
      <c r="K4" s="18"/>
      <c r="L4" s="18" t="s">
        <v>8</v>
      </c>
      <c r="M4" s="18"/>
      <c r="N4" s="19" t="s">
        <v>9</v>
      </c>
      <c r="O4" s="20" t="s">
        <v>10</v>
      </c>
      <c r="P4" s="20"/>
      <c r="Q4" s="21" t="s">
        <v>11</v>
      </c>
      <c r="R4" s="21"/>
      <c r="S4" s="22" t="s">
        <v>12</v>
      </c>
      <c r="T4" s="17"/>
      <c r="U4" s="23" t="s">
        <v>13</v>
      </c>
      <c r="V4" s="24" t="s">
        <v>14</v>
      </c>
      <c r="W4" s="25" t="s">
        <v>15</v>
      </c>
      <c r="X4" s="26" t="s">
        <v>16</v>
      </c>
      <c r="Y4" s="27"/>
      <c r="Z4" s="27"/>
      <c r="AA4" s="28" t="s">
        <v>17</v>
      </c>
    </row>
    <row r="5" s="29" customFormat="true" ht="93.75" hidden="false" customHeight="true" outlineLevel="0" collapsed="false">
      <c r="A5" s="16"/>
      <c r="B5" s="30" t="s">
        <v>18</v>
      </c>
      <c r="C5" s="31" t="s">
        <v>19</v>
      </c>
      <c r="D5" s="30" t="s">
        <v>18</v>
      </c>
      <c r="E5" s="31" t="s">
        <v>19</v>
      </c>
      <c r="F5" s="30" t="s">
        <v>18</v>
      </c>
      <c r="G5" s="31" t="s">
        <v>19</v>
      </c>
      <c r="H5" s="30" t="s">
        <v>18</v>
      </c>
      <c r="I5" s="31" t="s">
        <v>19</v>
      </c>
      <c r="J5" s="30" t="s">
        <v>18</v>
      </c>
      <c r="K5" s="31" t="s">
        <v>19</v>
      </c>
      <c r="L5" s="30" t="s">
        <v>18</v>
      </c>
      <c r="M5" s="31" t="s">
        <v>19</v>
      </c>
      <c r="N5" s="19"/>
      <c r="O5" s="32" t="s">
        <v>20</v>
      </c>
      <c r="P5" s="33" t="s">
        <v>19</v>
      </c>
      <c r="Q5" s="34" t="s">
        <v>21</v>
      </c>
      <c r="R5" s="35" t="s">
        <v>22</v>
      </c>
      <c r="S5" s="30"/>
      <c r="T5" s="31"/>
      <c r="U5" s="36"/>
      <c r="V5" s="37"/>
      <c r="W5" s="38"/>
      <c r="X5" s="39"/>
      <c r="Y5" s="27"/>
      <c r="Z5" s="27"/>
      <c r="AA5" s="28"/>
    </row>
    <row r="6" s="51" customFormat="true" ht="51.75" hidden="false" customHeight="true" outlineLevel="0" collapsed="false">
      <c r="A6" s="40" t="s">
        <v>23</v>
      </c>
      <c r="B6" s="41"/>
      <c r="C6" s="42" t="n">
        <v>53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 t="s">
        <v>24</v>
      </c>
      <c r="Q6" s="44"/>
      <c r="R6" s="45"/>
      <c r="S6" s="46"/>
      <c r="T6" s="46"/>
      <c r="U6" s="43"/>
      <c r="V6" s="43"/>
      <c r="W6" s="47"/>
      <c r="X6" s="48"/>
      <c r="Y6" s="49"/>
      <c r="Z6" s="49"/>
      <c r="AA6" s="50" t="n">
        <f aca="false">C6</f>
        <v>53</v>
      </c>
      <c r="AC6" s="52" t="s">
        <v>25</v>
      </c>
    </row>
    <row r="7" s="51" customFormat="true" ht="60" hidden="false" customHeight="true" outlineLevel="0" collapsed="false">
      <c r="A7" s="53" t="n">
        <v>46082</v>
      </c>
      <c r="B7" s="54"/>
      <c r="C7" s="55"/>
      <c r="D7" s="67" t="n">
        <v>9</v>
      </c>
      <c r="E7" s="55" t="n">
        <v>67350</v>
      </c>
      <c r="F7" s="55"/>
      <c r="G7" s="55"/>
      <c r="H7" s="55" t="n">
        <v>16.5</v>
      </c>
      <c r="I7" s="55" t="n">
        <v>115900</v>
      </c>
      <c r="J7" s="55"/>
      <c r="K7" s="55"/>
      <c r="L7" s="55"/>
      <c r="M7" s="55"/>
      <c r="N7" s="55" t="n">
        <v>43</v>
      </c>
      <c r="O7" s="55" t="n">
        <v>27</v>
      </c>
      <c r="P7" s="56" t="n">
        <v>9650</v>
      </c>
      <c r="Q7" s="57" t="n">
        <f aca="false">SUM(B7,D7,F7,H7,J7,L7)</f>
        <v>25.5</v>
      </c>
      <c r="R7" s="57" t="n">
        <f aca="false">SUM(C7,E7,G7,I7,K7,M7)</f>
        <v>183250</v>
      </c>
      <c r="S7" s="59" t="s">
        <v>75</v>
      </c>
      <c r="T7" s="60"/>
      <c r="U7" s="61"/>
      <c r="V7" s="62"/>
      <c r="W7" s="63"/>
      <c r="X7" s="103"/>
      <c r="Y7" s="49"/>
      <c r="Z7" s="49"/>
      <c r="AA7" s="65"/>
      <c r="AC7" s="52"/>
      <c r="AD7" s="66"/>
    </row>
    <row r="8" s="51" customFormat="true" ht="60" hidden="false" customHeight="true" outlineLevel="0" collapsed="false">
      <c r="A8" s="53" t="n">
        <v>46083</v>
      </c>
      <c r="B8" s="54"/>
      <c r="C8" s="67"/>
      <c r="D8" s="67" t="n">
        <v>6</v>
      </c>
      <c r="E8" s="55" t="n">
        <v>42450</v>
      </c>
      <c r="F8" s="67"/>
      <c r="G8" s="67"/>
      <c r="H8" s="67" t="n">
        <v>10</v>
      </c>
      <c r="I8" s="55" t="n">
        <v>52450</v>
      </c>
      <c r="J8" s="55" t="n">
        <v>1</v>
      </c>
      <c r="K8" s="55" t="n">
        <v>12200</v>
      </c>
      <c r="L8" s="55"/>
      <c r="M8" s="55"/>
      <c r="N8" s="55" t="n">
        <v>30.5</v>
      </c>
      <c r="O8" s="55" t="n">
        <v>23</v>
      </c>
      <c r="P8" s="56"/>
      <c r="Q8" s="57" t="n">
        <f aca="false">SUM(B8,D8,F8,H8,J8,L8)</f>
        <v>17</v>
      </c>
      <c r="R8" s="57" t="n">
        <f aca="false">SUM(C8,E8,G8,I8,K8,M8)</f>
        <v>107100</v>
      </c>
      <c r="S8" s="69" t="s">
        <v>76</v>
      </c>
      <c r="T8" s="70"/>
      <c r="U8" s="71"/>
      <c r="V8" s="72"/>
      <c r="W8" s="73"/>
      <c r="X8" s="75"/>
      <c r="Y8" s="49"/>
      <c r="Z8" s="49"/>
      <c r="AA8" s="65"/>
    </row>
    <row r="9" s="51" customFormat="true" ht="60" hidden="false" customHeight="true" outlineLevel="0" collapsed="false">
      <c r="A9" s="53" t="n">
        <v>46084</v>
      </c>
      <c r="B9" s="54"/>
      <c r="C9" s="67"/>
      <c r="D9" s="67" t="n">
        <v>5.5</v>
      </c>
      <c r="E9" s="55" t="n">
        <v>33650</v>
      </c>
      <c r="F9" s="67"/>
      <c r="G9" s="67"/>
      <c r="H9" s="67" t="n">
        <v>10</v>
      </c>
      <c r="I9" s="55" t="n">
        <v>41550</v>
      </c>
      <c r="J9" s="55"/>
      <c r="K9" s="55"/>
      <c r="L9" s="55"/>
      <c r="M9" s="55"/>
      <c r="N9" s="55" t="n">
        <v>18.5</v>
      </c>
      <c r="O9" s="55" t="n">
        <v>14.5</v>
      </c>
      <c r="P9" s="56" t="n">
        <v>20900</v>
      </c>
      <c r="Q9" s="57" t="n">
        <f aca="false">SUM(B9,D9,F9,H9,J9,L9)</f>
        <v>15.5</v>
      </c>
      <c r="R9" s="57" t="n">
        <f aca="false">SUM(C9,E9,G9,I9,K9,M9)</f>
        <v>75200</v>
      </c>
      <c r="S9" s="69" t="s">
        <v>77</v>
      </c>
      <c r="T9" s="70"/>
      <c r="U9" s="71"/>
      <c r="V9" s="72"/>
      <c r="W9" s="73"/>
      <c r="X9" s="75" t="s">
        <v>78</v>
      </c>
      <c r="Y9" s="49"/>
      <c r="Z9" s="49"/>
      <c r="AA9" s="65"/>
    </row>
    <row r="10" s="51" customFormat="true" ht="60" hidden="false" customHeight="true" outlineLevel="0" collapsed="false">
      <c r="A10" s="53" t="n">
        <v>46085</v>
      </c>
      <c r="B10" s="54"/>
      <c r="C10" s="67"/>
      <c r="D10" s="67" t="n">
        <v>7.5</v>
      </c>
      <c r="E10" s="55" t="n">
        <v>37950</v>
      </c>
      <c r="F10" s="67"/>
      <c r="G10" s="67"/>
      <c r="H10" s="67" t="n">
        <v>7.5</v>
      </c>
      <c r="I10" s="55" t="n">
        <v>42250</v>
      </c>
      <c r="J10" s="55" t="n">
        <v>1</v>
      </c>
      <c r="K10" s="55" t="n">
        <v>12850</v>
      </c>
      <c r="L10" s="55"/>
      <c r="M10" s="55"/>
      <c r="N10" s="55" t="n">
        <v>17</v>
      </c>
      <c r="O10" s="55" t="n">
        <v>12</v>
      </c>
      <c r="P10" s="56"/>
      <c r="Q10" s="57" t="n">
        <f aca="false">SUM(B10,D10,F10,H10,J10,L10)</f>
        <v>16</v>
      </c>
      <c r="R10" s="57" t="n">
        <f aca="false">SUM(C10,E10,G10,I10,K10,M10)</f>
        <v>93050</v>
      </c>
      <c r="S10" s="69" t="s">
        <v>76</v>
      </c>
      <c r="T10" s="70"/>
      <c r="U10" s="71"/>
      <c r="V10" s="72"/>
      <c r="W10" s="73"/>
      <c r="X10" s="75"/>
      <c r="Y10" s="49"/>
      <c r="Z10" s="49"/>
      <c r="AA10" s="65"/>
    </row>
    <row r="11" s="51" customFormat="true" ht="60" hidden="false" customHeight="true" outlineLevel="0" collapsed="false">
      <c r="A11" s="53" t="n">
        <v>46086</v>
      </c>
      <c r="B11" s="54"/>
      <c r="C11" s="67"/>
      <c r="D11" s="67" t="n">
        <v>2.5</v>
      </c>
      <c r="E11" s="55" t="n">
        <v>13700</v>
      </c>
      <c r="F11" s="67"/>
      <c r="G11" s="67"/>
      <c r="H11" s="67" t="n">
        <v>9</v>
      </c>
      <c r="I11" s="55" t="n">
        <v>55150</v>
      </c>
      <c r="J11" s="55" t="n">
        <v>1</v>
      </c>
      <c r="K11" s="55" t="n">
        <v>12350</v>
      </c>
      <c r="L11" s="55"/>
      <c r="M11" s="55"/>
      <c r="N11" s="55" t="n">
        <v>21.5</v>
      </c>
      <c r="O11" s="55" t="n">
        <v>15.5</v>
      </c>
      <c r="P11" s="56"/>
      <c r="Q11" s="57" t="n">
        <f aca="false">SUM(B11,D11,F11,H11,J11,L11)</f>
        <v>12.5</v>
      </c>
      <c r="R11" s="57" t="n">
        <f aca="false">SUM(C11,E11,G11,I11,K11,M11)</f>
        <v>81200</v>
      </c>
      <c r="S11" s="69" t="s">
        <v>77</v>
      </c>
      <c r="T11" s="70"/>
      <c r="U11" s="71"/>
      <c r="V11" s="72"/>
      <c r="W11" s="73"/>
      <c r="X11" s="75"/>
      <c r="Y11" s="49"/>
      <c r="Z11" s="49"/>
      <c r="AA11" s="65"/>
    </row>
    <row r="12" s="51" customFormat="true" ht="60" hidden="false" customHeight="true" outlineLevel="0" collapsed="false">
      <c r="A12" s="53" t="n">
        <v>46087</v>
      </c>
      <c r="B12" s="54"/>
      <c r="C12" s="67"/>
      <c r="D12" s="67" t="n">
        <v>2.5</v>
      </c>
      <c r="E12" s="55" t="n">
        <v>37400</v>
      </c>
      <c r="F12" s="67"/>
      <c r="G12" s="67"/>
      <c r="H12" s="67" t="n">
        <v>9</v>
      </c>
      <c r="I12" s="55" t="n">
        <v>42950</v>
      </c>
      <c r="J12" s="55" t="n">
        <v>1</v>
      </c>
      <c r="K12" s="55" t="n">
        <v>4850</v>
      </c>
      <c r="L12" s="55"/>
      <c r="M12" s="55"/>
      <c r="N12" s="55" t="n">
        <v>13</v>
      </c>
      <c r="O12" s="55" t="n">
        <v>14.5</v>
      </c>
      <c r="P12" s="56"/>
      <c r="Q12" s="57" t="n">
        <f aca="false">SUM(B12,D12,F12,H12,J12,L12)</f>
        <v>12.5</v>
      </c>
      <c r="R12" s="57" t="n">
        <f aca="false">SUM(C12,E12,G12,I12,K12,M12)</f>
        <v>85200</v>
      </c>
      <c r="S12" s="69" t="s">
        <v>79</v>
      </c>
      <c r="T12" s="70"/>
      <c r="U12" s="71"/>
      <c r="V12" s="72"/>
      <c r="W12" s="73"/>
      <c r="X12" s="74"/>
      <c r="Y12" s="49"/>
      <c r="Z12" s="49"/>
      <c r="AA12" s="65"/>
    </row>
    <row r="13" s="51" customFormat="true" ht="60" hidden="false" customHeight="true" outlineLevel="0" collapsed="false">
      <c r="A13" s="53" t="n">
        <v>46088</v>
      </c>
      <c r="B13" s="54"/>
      <c r="C13" s="67"/>
      <c r="D13" s="67" t="n">
        <v>10.5</v>
      </c>
      <c r="E13" s="55" t="n">
        <v>31550</v>
      </c>
      <c r="F13" s="67"/>
      <c r="G13" s="67"/>
      <c r="H13" s="67" t="n">
        <v>14</v>
      </c>
      <c r="I13" s="55" t="n">
        <v>67100</v>
      </c>
      <c r="J13" s="55"/>
      <c r="K13" s="55"/>
      <c r="L13" s="55"/>
      <c r="M13" s="55"/>
      <c r="N13" s="55" t="n">
        <v>24.5</v>
      </c>
      <c r="O13" s="55" t="n">
        <v>17.5</v>
      </c>
      <c r="P13" s="56"/>
      <c r="Q13" s="57" t="n">
        <f aca="false">SUM(B13,D13,F13,H13,J13,L13)</f>
        <v>24.5</v>
      </c>
      <c r="R13" s="57" t="n">
        <f aca="false">SUM(C13,E13,G13,I13,K13,M13)</f>
        <v>98650</v>
      </c>
      <c r="S13" s="69" t="s">
        <v>75</v>
      </c>
      <c r="T13" s="70"/>
      <c r="U13" s="71"/>
      <c r="V13" s="72"/>
      <c r="W13" s="73"/>
      <c r="X13" s="75"/>
      <c r="Y13" s="49"/>
      <c r="Z13" s="49"/>
      <c r="AA13" s="65"/>
    </row>
    <row r="14" s="51" customFormat="true" ht="60" hidden="false" customHeight="true" outlineLevel="0" collapsed="false">
      <c r="A14" s="53" t="n">
        <v>46089</v>
      </c>
      <c r="B14" s="54"/>
      <c r="C14" s="67"/>
      <c r="D14" s="67" t="n">
        <v>5.5</v>
      </c>
      <c r="E14" s="55" t="n">
        <v>47800</v>
      </c>
      <c r="F14" s="67"/>
      <c r="G14" s="67"/>
      <c r="H14" s="67" t="n">
        <v>11.5</v>
      </c>
      <c r="I14" s="55" t="n">
        <v>81150</v>
      </c>
      <c r="J14" s="55"/>
      <c r="K14" s="55"/>
      <c r="L14" s="55"/>
      <c r="M14" s="55"/>
      <c r="N14" s="55" t="n">
        <v>26</v>
      </c>
      <c r="O14" s="55" t="n">
        <v>21.5</v>
      </c>
      <c r="P14" s="56"/>
      <c r="Q14" s="57" t="n">
        <f aca="false">SUM(B14,D14,F14,H14,J14,L14)</f>
        <v>17</v>
      </c>
      <c r="R14" s="57" t="n">
        <f aca="false">SUM(C14,E14,G14,I14,K14,M14)</f>
        <v>128950</v>
      </c>
      <c r="S14" s="69" t="s">
        <v>75</v>
      </c>
      <c r="T14" s="70"/>
      <c r="U14" s="71"/>
      <c r="V14" s="72"/>
      <c r="W14" s="73"/>
      <c r="X14" s="75"/>
      <c r="Y14" s="49"/>
      <c r="Z14" s="49"/>
      <c r="AA14" s="65"/>
    </row>
    <row r="15" s="51" customFormat="true" ht="60" hidden="false" customHeight="true" outlineLevel="0" collapsed="false">
      <c r="A15" s="53" t="n">
        <v>46090</v>
      </c>
      <c r="B15" s="54"/>
      <c r="C15" s="67"/>
      <c r="D15" s="67" t="n">
        <v>2.5</v>
      </c>
      <c r="E15" s="55" t="n">
        <v>15250</v>
      </c>
      <c r="F15" s="67"/>
      <c r="G15" s="67"/>
      <c r="H15" s="67" t="n">
        <v>7</v>
      </c>
      <c r="I15" s="55" t="n">
        <v>41900</v>
      </c>
      <c r="J15" s="55"/>
      <c r="K15" s="55"/>
      <c r="L15" s="55"/>
      <c r="M15" s="55"/>
      <c r="N15" s="55" t="n">
        <v>12</v>
      </c>
      <c r="O15" s="55" t="n">
        <v>12</v>
      </c>
      <c r="P15" s="56" t="n">
        <v>3100</v>
      </c>
      <c r="Q15" s="57" t="n">
        <f aca="false">SUM(B15,D15,F15,H15,J15,L15)</f>
        <v>9.5</v>
      </c>
      <c r="R15" s="57" t="n">
        <f aca="false">SUM(C15,E15,G15,I15,K15,M15)</f>
        <v>57150</v>
      </c>
      <c r="S15" s="69" t="s">
        <v>79</v>
      </c>
      <c r="T15" s="70"/>
      <c r="U15" s="71"/>
      <c r="V15" s="72"/>
      <c r="W15" s="73"/>
      <c r="X15" s="75"/>
      <c r="Y15" s="49"/>
      <c r="Z15" s="49"/>
      <c r="AA15" s="65"/>
    </row>
    <row r="16" s="51" customFormat="true" ht="60" hidden="false" customHeight="true" outlineLevel="0" collapsed="false">
      <c r="A16" s="53" t="n">
        <v>46091</v>
      </c>
      <c r="B16" s="54"/>
      <c r="C16" s="67"/>
      <c r="D16" s="67" t="n">
        <v>10</v>
      </c>
      <c r="E16" s="55" t="n">
        <v>44450</v>
      </c>
      <c r="F16" s="67"/>
      <c r="G16" s="67"/>
      <c r="H16" s="67" t="n">
        <v>11</v>
      </c>
      <c r="I16" s="55" t="n">
        <v>73100</v>
      </c>
      <c r="J16" s="55" t="n">
        <v>1</v>
      </c>
      <c r="K16" s="55" t="n">
        <v>5400</v>
      </c>
      <c r="L16" s="55"/>
      <c r="M16" s="55"/>
      <c r="N16" s="55" t="n">
        <v>17.5</v>
      </c>
      <c r="O16" s="55" t="n">
        <v>20.5</v>
      </c>
      <c r="P16" s="56"/>
      <c r="Q16" s="57" t="n">
        <f aca="false">SUM(B16,D16,F16,H16,J16,L16)</f>
        <v>22</v>
      </c>
      <c r="R16" s="57" t="n">
        <f aca="false">SUM(C16,E16,G16,I16,K16,M16)</f>
        <v>122950</v>
      </c>
      <c r="S16" s="69" t="s">
        <v>77</v>
      </c>
      <c r="T16" s="70"/>
      <c r="U16" s="71"/>
      <c r="V16" s="72"/>
      <c r="W16" s="73"/>
      <c r="X16" s="75"/>
      <c r="Y16" s="49"/>
      <c r="Z16" s="49"/>
      <c r="AA16" s="65"/>
    </row>
    <row r="17" s="51" customFormat="true" ht="60" hidden="false" customHeight="true" outlineLevel="0" collapsed="false">
      <c r="A17" s="53" t="n">
        <v>46092</v>
      </c>
      <c r="B17" s="54"/>
      <c r="C17" s="67"/>
      <c r="D17" s="67" t="n">
        <v>3</v>
      </c>
      <c r="E17" s="55" t="n">
        <v>52500</v>
      </c>
      <c r="F17" s="67"/>
      <c r="G17" s="67"/>
      <c r="H17" s="67" t="n">
        <v>5</v>
      </c>
      <c r="I17" s="55" t="n">
        <v>30300</v>
      </c>
      <c r="J17" s="55" t="n">
        <v>1.5</v>
      </c>
      <c r="K17" s="55" t="n">
        <v>8600</v>
      </c>
      <c r="L17" s="55"/>
      <c r="M17" s="55"/>
      <c r="N17" s="55" t="n">
        <v>17.5</v>
      </c>
      <c r="O17" s="55" t="n">
        <v>14</v>
      </c>
      <c r="P17" s="56"/>
      <c r="Q17" s="57" t="n">
        <f aca="false">SUM(B17,D17,F17,H17,J17,L17)</f>
        <v>9.5</v>
      </c>
      <c r="R17" s="57" t="n">
        <f aca="false">SUM(C17,E17,G17,I17,K17,M17)</f>
        <v>91400</v>
      </c>
      <c r="S17" s="69" t="s">
        <v>77</v>
      </c>
      <c r="T17" s="70"/>
      <c r="U17" s="71"/>
      <c r="V17" s="72"/>
      <c r="W17" s="73"/>
      <c r="X17" s="75"/>
      <c r="Y17" s="49"/>
      <c r="Z17" s="49"/>
      <c r="AA17" s="65"/>
    </row>
    <row r="18" s="51" customFormat="true" ht="60" hidden="false" customHeight="true" outlineLevel="0" collapsed="false">
      <c r="A18" s="53" t="n">
        <v>46093</v>
      </c>
      <c r="B18" s="54"/>
      <c r="C18" s="67"/>
      <c r="D18" s="67" t="n">
        <v>6.5</v>
      </c>
      <c r="E18" s="55" t="n">
        <v>36400</v>
      </c>
      <c r="F18" s="67"/>
      <c r="G18" s="67"/>
      <c r="H18" s="67" t="n">
        <v>9</v>
      </c>
      <c r="I18" s="55" t="n">
        <v>50300</v>
      </c>
      <c r="J18" s="55"/>
      <c r="K18" s="55"/>
      <c r="L18" s="55"/>
      <c r="M18" s="55"/>
      <c r="N18" s="55" t="n">
        <v>21.5</v>
      </c>
      <c r="O18" s="55" t="n">
        <v>22.5</v>
      </c>
      <c r="P18" s="56" t="n">
        <v>5300</v>
      </c>
      <c r="Q18" s="57" t="n">
        <f aca="false">SUM(B18,D18,F18,H18,J18,L18)</f>
        <v>15.5</v>
      </c>
      <c r="R18" s="57" t="n">
        <f aca="false">SUM(C18,E18,G18,I18,K18,M18)</f>
        <v>86700</v>
      </c>
      <c r="S18" s="69" t="s">
        <v>77</v>
      </c>
      <c r="T18" s="70"/>
      <c r="U18" s="71"/>
      <c r="V18" s="72"/>
      <c r="W18" s="73"/>
      <c r="X18" s="74"/>
      <c r="Y18" s="49"/>
      <c r="Z18" s="49"/>
      <c r="AA18" s="65"/>
    </row>
    <row r="19" s="51" customFormat="true" ht="60" hidden="false" customHeight="true" outlineLevel="0" collapsed="false">
      <c r="A19" s="53" t="n">
        <v>46094</v>
      </c>
      <c r="B19" s="54"/>
      <c r="C19" s="67"/>
      <c r="D19" s="67" t="n">
        <v>2</v>
      </c>
      <c r="E19" s="55" t="n">
        <v>13550</v>
      </c>
      <c r="F19" s="67"/>
      <c r="G19" s="67"/>
      <c r="H19" s="67" t="n">
        <v>8.5</v>
      </c>
      <c r="I19" s="55" t="n">
        <v>45900</v>
      </c>
      <c r="J19" s="55"/>
      <c r="K19" s="55"/>
      <c r="L19" s="55"/>
      <c r="M19" s="55"/>
      <c r="N19" s="55" t="n">
        <v>11</v>
      </c>
      <c r="O19" s="55" t="n">
        <v>13.5</v>
      </c>
      <c r="P19" s="56" t="n">
        <v>4000</v>
      </c>
      <c r="Q19" s="57" t="n">
        <f aca="false">SUM(B19,D19,F19,H19,J19,L19)</f>
        <v>10.5</v>
      </c>
      <c r="R19" s="57" t="n">
        <f aca="false">SUM(C19,E19,G19,I19,K19,M19)</f>
        <v>59450</v>
      </c>
      <c r="S19" s="69" t="s">
        <v>75</v>
      </c>
      <c r="T19" s="70"/>
      <c r="U19" s="71"/>
      <c r="V19" s="72"/>
      <c r="W19" s="73"/>
      <c r="X19" s="75"/>
      <c r="Y19" s="49"/>
      <c r="Z19" s="49"/>
      <c r="AA19" s="65"/>
    </row>
    <row r="20" s="51" customFormat="true" ht="60" hidden="false" customHeight="true" outlineLevel="0" collapsed="false">
      <c r="A20" s="53" t="n">
        <v>46095</v>
      </c>
      <c r="B20" s="54"/>
      <c r="C20" s="67"/>
      <c r="D20" s="67" t="n">
        <v>5</v>
      </c>
      <c r="E20" s="55" t="n">
        <v>25350</v>
      </c>
      <c r="F20" s="67"/>
      <c r="G20" s="67"/>
      <c r="H20" s="67" t="n">
        <v>11.5</v>
      </c>
      <c r="I20" s="55" t="n">
        <v>44950</v>
      </c>
      <c r="J20" s="55"/>
      <c r="K20" s="55"/>
      <c r="L20" s="55"/>
      <c r="M20" s="55"/>
      <c r="N20" s="55" t="n">
        <v>15</v>
      </c>
      <c r="O20" s="55" t="n">
        <v>15.5</v>
      </c>
      <c r="P20" s="56"/>
      <c r="Q20" s="57" t="n">
        <f aca="false">SUM(B20,D20,F20,H20,J20,L20)</f>
        <v>16.5</v>
      </c>
      <c r="R20" s="57" t="n">
        <f aca="false">SUM(C20,E20,G20,I20,K20,M20)</f>
        <v>70300</v>
      </c>
      <c r="S20" s="69" t="s">
        <v>75</v>
      </c>
      <c r="T20" s="70"/>
      <c r="U20" s="71"/>
      <c r="V20" s="72"/>
      <c r="W20" s="73"/>
      <c r="X20" s="75"/>
      <c r="Y20" s="49"/>
      <c r="Z20" s="49"/>
      <c r="AA20" s="65"/>
    </row>
    <row r="21" s="51" customFormat="true" ht="60" hidden="false" customHeight="true" outlineLevel="0" collapsed="false">
      <c r="A21" s="53" t="n">
        <v>46096</v>
      </c>
      <c r="B21" s="76"/>
      <c r="C21" s="67"/>
      <c r="D21" s="67" t="n">
        <v>11</v>
      </c>
      <c r="E21" s="55" t="n">
        <v>65700</v>
      </c>
      <c r="F21" s="67"/>
      <c r="G21" s="67"/>
      <c r="H21" s="67" t="n">
        <v>10.5</v>
      </c>
      <c r="I21" s="55" t="n">
        <v>64100</v>
      </c>
      <c r="J21" s="55" t="n">
        <v>1</v>
      </c>
      <c r="K21" s="55" t="n">
        <v>6150</v>
      </c>
      <c r="L21" s="55"/>
      <c r="M21" s="55"/>
      <c r="N21" s="55" t="n">
        <v>42</v>
      </c>
      <c r="O21" s="55" t="n">
        <v>23.5</v>
      </c>
      <c r="P21" s="56" t="n">
        <v>10850</v>
      </c>
      <c r="Q21" s="57" t="n">
        <f aca="false">SUM(B21,D21,F21,H21,J21,L21)</f>
        <v>22.5</v>
      </c>
      <c r="R21" s="57" t="n">
        <f aca="false">SUM(C21,E21,G21,I21,K21,M21)</f>
        <v>135950</v>
      </c>
      <c r="S21" s="69" t="s">
        <v>77</v>
      </c>
      <c r="T21" s="70"/>
      <c r="U21" s="71"/>
      <c r="V21" s="72"/>
      <c r="W21" s="73"/>
      <c r="X21" s="75"/>
      <c r="Y21" s="49"/>
      <c r="Z21" s="49"/>
      <c r="AA21" s="65"/>
    </row>
    <row r="22" s="51" customFormat="true" ht="60" hidden="false" customHeight="true" outlineLevel="0" collapsed="false">
      <c r="A22" s="53" t="n">
        <v>46097</v>
      </c>
      <c r="B22" s="76"/>
      <c r="C22" s="67"/>
      <c r="D22" s="67" t="n">
        <v>5</v>
      </c>
      <c r="E22" s="55" t="n">
        <v>510</v>
      </c>
      <c r="F22" s="67"/>
      <c r="G22" s="67"/>
      <c r="H22" s="67" t="n">
        <v>8</v>
      </c>
      <c r="I22" s="55" t="n">
        <v>34350</v>
      </c>
      <c r="J22" s="55" t="n">
        <v>1</v>
      </c>
      <c r="K22" s="55" t="n">
        <v>7000</v>
      </c>
      <c r="L22" s="55"/>
      <c r="M22" s="55"/>
      <c r="N22" s="55" t="n">
        <v>12</v>
      </c>
      <c r="O22" s="55" t="n">
        <v>18</v>
      </c>
      <c r="P22" s="56" t="n">
        <v>94700</v>
      </c>
      <c r="Q22" s="57" t="n">
        <f aca="false">SUM(B22,D22,F22,H22,J22,L22)</f>
        <v>14</v>
      </c>
      <c r="R22" s="57" t="n">
        <f aca="false">SUM(C22,E22,G22,I22,K22,M22)</f>
        <v>41860</v>
      </c>
      <c r="S22" s="69" t="s">
        <v>75</v>
      </c>
      <c r="T22" s="70"/>
      <c r="U22" s="71"/>
      <c r="V22" s="72"/>
      <c r="W22" s="73"/>
      <c r="X22" s="75" t="s">
        <v>80</v>
      </c>
      <c r="Y22" s="49"/>
      <c r="Z22" s="49"/>
      <c r="AA22" s="65"/>
    </row>
    <row r="23" s="51" customFormat="true" ht="60" hidden="false" customHeight="true" outlineLevel="0" collapsed="false">
      <c r="A23" s="53" t="n">
        <v>46098</v>
      </c>
      <c r="B23" s="76"/>
      <c r="C23" s="67"/>
      <c r="D23" s="67" t="n">
        <v>11</v>
      </c>
      <c r="E23" s="55" t="n">
        <v>61200</v>
      </c>
      <c r="F23" s="67"/>
      <c r="G23" s="67"/>
      <c r="H23" s="67" t="n">
        <v>5</v>
      </c>
      <c r="I23" s="55" t="n">
        <v>20450</v>
      </c>
      <c r="J23" s="55"/>
      <c r="K23" s="55"/>
      <c r="L23" s="55"/>
      <c r="M23" s="55"/>
      <c r="N23" s="55" t="n">
        <v>22.5</v>
      </c>
      <c r="O23" s="55" t="n">
        <v>14</v>
      </c>
      <c r="P23" s="56"/>
      <c r="Q23" s="57" t="n">
        <f aca="false">SUM(B23,D23,F23,H23,J23,L23)</f>
        <v>16</v>
      </c>
      <c r="R23" s="57" t="n">
        <f aca="false">SUM(C23,E23,G23,I23,K23,M23)</f>
        <v>81650</v>
      </c>
      <c r="S23" s="69" t="s">
        <v>77</v>
      </c>
      <c r="T23" s="70"/>
      <c r="U23" s="71"/>
      <c r="V23" s="72"/>
      <c r="W23" s="73"/>
      <c r="X23" s="75"/>
      <c r="Y23" s="49"/>
      <c r="Z23" s="49"/>
      <c r="AA23" s="65"/>
    </row>
    <row r="24" s="51" customFormat="true" ht="60" hidden="false" customHeight="true" outlineLevel="0" collapsed="false">
      <c r="A24" s="53" t="n">
        <v>46099</v>
      </c>
      <c r="B24" s="76"/>
      <c r="C24" s="67"/>
      <c r="D24" s="67" t="n">
        <v>9.5</v>
      </c>
      <c r="E24" s="55" t="n">
        <v>52050</v>
      </c>
      <c r="F24" s="67"/>
      <c r="G24" s="67"/>
      <c r="H24" s="67" t="n">
        <v>5.5</v>
      </c>
      <c r="I24" s="55" t="n">
        <v>60550</v>
      </c>
      <c r="J24" s="55"/>
      <c r="K24" s="55"/>
      <c r="L24" s="55"/>
      <c r="M24" s="55"/>
      <c r="N24" s="55" t="n">
        <v>19.5</v>
      </c>
      <c r="O24" s="55" t="n">
        <v>11</v>
      </c>
      <c r="P24" s="56" t="n">
        <v>4250</v>
      </c>
      <c r="Q24" s="57" t="n">
        <f aca="false">SUM(B24,D24,F24,H24,J24,L24)</f>
        <v>15</v>
      </c>
      <c r="R24" s="57" t="n">
        <f aca="false">SUM(C24,E24,G24,I24,K24,M24)</f>
        <v>112600</v>
      </c>
      <c r="S24" s="69" t="s">
        <v>75</v>
      </c>
      <c r="T24" s="70"/>
      <c r="U24" s="71"/>
      <c r="V24" s="72"/>
      <c r="W24" s="73"/>
      <c r="X24" s="75"/>
      <c r="Y24" s="49"/>
      <c r="Z24" s="49"/>
      <c r="AA24" s="65"/>
    </row>
    <row r="25" s="51" customFormat="true" ht="60" hidden="false" customHeight="true" outlineLevel="0" collapsed="false">
      <c r="A25" s="53" t="n">
        <v>46100</v>
      </c>
      <c r="B25" s="76"/>
      <c r="C25" s="67"/>
      <c r="D25" s="67" t="n">
        <v>5.5</v>
      </c>
      <c r="E25" s="55" t="n">
        <v>46900</v>
      </c>
      <c r="F25" s="67"/>
      <c r="G25" s="67"/>
      <c r="H25" s="67" t="n">
        <v>9</v>
      </c>
      <c r="I25" s="55" t="n">
        <v>57350</v>
      </c>
      <c r="J25" s="55"/>
      <c r="K25" s="55"/>
      <c r="L25" s="55"/>
      <c r="M25" s="55"/>
      <c r="N25" s="55" t="n">
        <v>20</v>
      </c>
      <c r="O25" s="55" t="n">
        <v>13.5</v>
      </c>
      <c r="P25" s="56" t="n">
        <v>17950</v>
      </c>
      <c r="Q25" s="57" t="n">
        <f aca="false">SUM(B25,D25,F25,H25,J25,L25)</f>
        <v>14.5</v>
      </c>
      <c r="R25" s="57" t="n">
        <f aca="false">SUM(C25,E25,G25,I25,K25,M25)</f>
        <v>104250</v>
      </c>
      <c r="S25" s="69" t="s">
        <v>77</v>
      </c>
      <c r="T25" s="70"/>
      <c r="U25" s="71"/>
      <c r="V25" s="72"/>
      <c r="W25" s="73"/>
      <c r="X25" s="75"/>
      <c r="Y25" s="49"/>
      <c r="Z25" s="49"/>
      <c r="AA25" s="65"/>
    </row>
    <row r="26" s="51" customFormat="true" ht="60" hidden="false" customHeight="true" outlineLevel="0" collapsed="false">
      <c r="A26" s="53" t="n">
        <v>46101</v>
      </c>
      <c r="B26" s="76"/>
      <c r="C26" s="67"/>
      <c r="D26" s="67" t="n">
        <v>4.5</v>
      </c>
      <c r="E26" s="55" t="n">
        <v>26000</v>
      </c>
      <c r="F26" s="67"/>
      <c r="G26" s="67"/>
      <c r="H26" s="67" t="n">
        <v>7</v>
      </c>
      <c r="I26" s="55" t="n">
        <v>20700</v>
      </c>
      <c r="J26" s="55"/>
      <c r="K26" s="55"/>
      <c r="L26" s="55"/>
      <c r="M26" s="55"/>
      <c r="N26" s="55" t="n">
        <v>11</v>
      </c>
      <c r="O26" s="55" t="n">
        <v>11.5</v>
      </c>
      <c r="P26" s="56" t="n">
        <v>12450</v>
      </c>
      <c r="Q26" s="57" t="n">
        <f aca="false">SUM(B26,D26,F26,H26,J26,L26)</f>
        <v>11.5</v>
      </c>
      <c r="R26" s="57" t="n">
        <f aca="false">SUM(C26,E26,G26,I26,K26,M26)</f>
        <v>46700</v>
      </c>
      <c r="S26" s="69" t="s">
        <v>75</v>
      </c>
      <c r="T26" s="70"/>
      <c r="U26" s="71"/>
      <c r="V26" s="72"/>
      <c r="W26" s="73"/>
      <c r="X26" s="75"/>
      <c r="Y26" s="49"/>
      <c r="Z26" s="49"/>
      <c r="AA26" s="65"/>
    </row>
    <row r="27" s="51" customFormat="true" ht="60" hidden="false" customHeight="true" outlineLevel="0" collapsed="false">
      <c r="A27" s="53" t="n">
        <v>46102</v>
      </c>
      <c r="B27" s="76"/>
      <c r="C27" s="67"/>
      <c r="D27" s="67" t="n">
        <v>4</v>
      </c>
      <c r="E27" s="55" t="n">
        <v>36900</v>
      </c>
      <c r="F27" s="67"/>
      <c r="G27" s="67"/>
      <c r="H27" s="67" t="n">
        <v>13</v>
      </c>
      <c r="I27" s="55" t="n">
        <v>83050</v>
      </c>
      <c r="J27" s="55" t="n">
        <v>1</v>
      </c>
      <c r="K27" s="55" t="n">
        <v>2500</v>
      </c>
      <c r="L27" s="55"/>
      <c r="M27" s="55"/>
      <c r="N27" s="55" t="n">
        <v>23.5</v>
      </c>
      <c r="O27" s="55" t="n">
        <v>26</v>
      </c>
      <c r="P27" s="56" t="n">
        <v>18750</v>
      </c>
      <c r="Q27" s="57" t="n">
        <f aca="false">SUM(B27,D27,F27,H27,J27,L27)</f>
        <v>18</v>
      </c>
      <c r="R27" s="57" t="n">
        <f aca="false">SUM(C27,E27,G27,I27,K27,M27)</f>
        <v>122450</v>
      </c>
      <c r="S27" s="69" t="s">
        <v>75</v>
      </c>
      <c r="T27" s="70"/>
      <c r="U27" s="71"/>
      <c r="V27" s="72"/>
      <c r="W27" s="73"/>
      <c r="X27" s="75"/>
      <c r="Y27" s="49"/>
      <c r="Z27" s="49"/>
      <c r="AA27" s="65"/>
    </row>
    <row r="28" s="51" customFormat="true" ht="60" hidden="false" customHeight="true" outlineLevel="0" collapsed="false">
      <c r="A28" s="53" t="n">
        <v>46103</v>
      </c>
      <c r="B28" s="76"/>
      <c r="C28" s="67"/>
      <c r="D28" s="67" t="n">
        <v>5.5</v>
      </c>
      <c r="E28" s="55" t="n">
        <v>44300</v>
      </c>
      <c r="F28" s="67"/>
      <c r="G28" s="67"/>
      <c r="H28" s="67" t="n">
        <v>26</v>
      </c>
      <c r="I28" s="55" t="n">
        <v>128550</v>
      </c>
      <c r="J28" s="55" t="n">
        <v>1</v>
      </c>
      <c r="K28" s="55" t="n">
        <v>6000</v>
      </c>
      <c r="L28" s="55"/>
      <c r="M28" s="55"/>
      <c r="N28" s="55" t="n">
        <v>59</v>
      </c>
      <c r="O28" s="55" t="n">
        <v>39</v>
      </c>
      <c r="P28" s="56" t="n">
        <v>4600</v>
      </c>
      <c r="Q28" s="57" t="n">
        <f aca="false">SUM(B28,D28,F28,H28,J28,L28)</f>
        <v>32.5</v>
      </c>
      <c r="R28" s="57" t="n">
        <f aca="false">SUM(C28,E28,G28,I28,K28,M28)</f>
        <v>178850</v>
      </c>
      <c r="S28" s="69" t="s">
        <v>77</v>
      </c>
      <c r="T28" s="70"/>
      <c r="U28" s="71"/>
      <c r="V28" s="72"/>
      <c r="W28" s="73"/>
      <c r="X28" s="75"/>
      <c r="Y28" s="49"/>
      <c r="Z28" s="49"/>
      <c r="AA28" s="65"/>
    </row>
    <row r="29" s="51" customFormat="true" ht="60" hidden="false" customHeight="true" outlineLevel="0" collapsed="false">
      <c r="A29" s="53" t="n">
        <v>46104</v>
      </c>
      <c r="B29" s="76"/>
      <c r="C29" s="67"/>
      <c r="D29" s="67" t="n">
        <v>13</v>
      </c>
      <c r="E29" s="55" t="n">
        <v>65500</v>
      </c>
      <c r="F29" s="67"/>
      <c r="G29" s="67"/>
      <c r="H29" s="67" t="n">
        <v>10.5</v>
      </c>
      <c r="I29" s="55" t="n">
        <v>62700</v>
      </c>
      <c r="J29" s="55"/>
      <c r="K29" s="55"/>
      <c r="L29" s="55"/>
      <c r="M29" s="55"/>
      <c r="N29" s="55" t="n">
        <v>26.5</v>
      </c>
      <c r="O29" s="55" t="n">
        <v>22.5</v>
      </c>
      <c r="P29" s="56" t="n">
        <v>2600</v>
      </c>
      <c r="Q29" s="57" t="n">
        <f aca="false">SUM(B29,D29,F29,H29,J29,L29)</f>
        <v>23.5</v>
      </c>
      <c r="R29" s="57" t="n">
        <f aca="false">SUM(C29,E29,G29,I29,K29,M29)</f>
        <v>128200</v>
      </c>
      <c r="S29" s="69" t="s">
        <v>75</v>
      </c>
      <c r="T29" s="70"/>
      <c r="U29" s="71"/>
      <c r="V29" s="72"/>
      <c r="W29" s="73"/>
      <c r="X29" s="75"/>
      <c r="Y29" s="49"/>
      <c r="Z29" s="49"/>
      <c r="AA29" s="65"/>
    </row>
    <row r="30" s="51" customFormat="true" ht="60" hidden="false" customHeight="true" outlineLevel="0" collapsed="false">
      <c r="A30" s="53" t="n">
        <v>46105</v>
      </c>
      <c r="B30" s="76"/>
      <c r="C30" s="67"/>
      <c r="D30" s="67" t="n">
        <v>4</v>
      </c>
      <c r="E30" s="55" t="n">
        <v>30650</v>
      </c>
      <c r="F30" s="67"/>
      <c r="G30" s="67"/>
      <c r="H30" s="67" t="n">
        <v>7</v>
      </c>
      <c r="I30" s="55" t="n">
        <v>49100</v>
      </c>
      <c r="J30" s="55"/>
      <c r="K30" s="55"/>
      <c r="L30" s="55"/>
      <c r="M30" s="55"/>
      <c r="N30" s="55" t="n">
        <v>12</v>
      </c>
      <c r="O30" s="55" t="n">
        <v>17.5</v>
      </c>
      <c r="P30" s="56"/>
      <c r="Q30" s="57" t="n">
        <f aca="false">SUM(B30,D30,F30,H30,J30,L30)</f>
        <v>11</v>
      </c>
      <c r="R30" s="57" t="n">
        <f aca="false">SUM(C30,E30,G30,I30,K30,M30)</f>
        <v>79750</v>
      </c>
      <c r="S30" s="69" t="s">
        <v>79</v>
      </c>
      <c r="T30" s="70"/>
      <c r="U30" s="71"/>
      <c r="V30" s="72"/>
      <c r="W30" s="73"/>
      <c r="X30" s="75"/>
      <c r="Y30" s="49"/>
      <c r="Z30" s="49"/>
      <c r="AA30" s="65"/>
    </row>
    <row r="31" s="51" customFormat="true" ht="60" hidden="false" customHeight="true" outlineLevel="0" collapsed="false">
      <c r="A31" s="53" t="n">
        <v>46106</v>
      </c>
      <c r="B31" s="76"/>
      <c r="C31" s="67"/>
      <c r="D31" s="67" t="n">
        <v>3</v>
      </c>
      <c r="E31" s="55" t="n">
        <v>30900</v>
      </c>
      <c r="F31" s="67"/>
      <c r="G31" s="67"/>
      <c r="H31" s="67" t="n">
        <v>4.5</v>
      </c>
      <c r="I31" s="55" t="n">
        <v>21950</v>
      </c>
      <c r="J31" s="55"/>
      <c r="K31" s="55"/>
      <c r="L31" s="55"/>
      <c r="M31" s="55"/>
      <c r="N31" s="55" t="n">
        <v>10</v>
      </c>
      <c r="O31" s="55" t="n">
        <v>6.5</v>
      </c>
      <c r="P31" s="56"/>
      <c r="Q31" s="57" t="n">
        <f aca="false">SUM(B31,D31,F31,H31,J31,L31)</f>
        <v>7.5</v>
      </c>
      <c r="R31" s="57" t="n">
        <f aca="false">SUM(C31,E31,G31,I31,K31,M31)</f>
        <v>52850</v>
      </c>
      <c r="S31" s="69" t="s">
        <v>75</v>
      </c>
      <c r="T31" s="70"/>
      <c r="U31" s="71"/>
      <c r="V31" s="72"/>
      <c r="W31" s="73"/>
      <c r="X31" s="75"/>
      <c r="Y31" s="49"/>
      <c r="Z31" s="49"/>
      <c r="AA31" s="65"/>
    </row>
    <row r="32" s="51" customFormat="true" ht="60" hidden="false" customHeight="true" outlineLevel="0" collapsed="false">
      <c r="A32" s="53" t="n">
        <v>46107</v>
      </c>
      <c r="B32" s="76"/>
      <c r="C32" s="67"/>
      <c r="D32" s="67" t="n">
        <v>3.5</v>
      </c>
      <c r="E32" s="55" t="n">
        <v>27700</v>
      </c>
      <c r="F32" s="67"/>
      <c r="G32" s="67"/>
      <c r="H32" s="67" t="n">
        <v>8.5</v>
      </c>
      <c r="I32" s="55" t="n">
        <v>79700</v>
      </c>
      <c r="J32" s="55"/>
      <c r="K32" s="55"/>
      <c r="L32" s="55"/>
      <c r="M32" s="55"/>
      <c r="N32" s="55" t="n">
        <v>17</v>
      </c>
      <c r="O32" s="55" t="n">
        <v>10.5</v>
      </c>
      <c r="P32" s="56" t="n">
        <v>6450</v>
      </c>
      <c r="Q32" s="57" t="n">
        <f aca="false">SUM(B32,D32,F32,H32,J32,L32)</f>
        <v>12</v>
      </c>
      <c r="R32" s="57" t="n">
        <f aca="false">SUM(C32,E32,G32,I32,K32,M32)</f>
        <v>107400</v>
      </c>
      <c r="S32" s="69" t="s">
        <v>79</v>
      </c>
      <c r="T32" s="70"/>
      <c r="U32" s="71"/>
      <c r="V32" s="72"/>
      <c r="W32" s="73"/>
      <c r="X32" s="75"/>
      <c r="Y32" s="49"/>
      <c r="Z32" s="49"/>
      <c r="AA32" s="65"/>
    </row>
    <row r="33" s="51" customFormat="true" ht="60" hidden="false" customHeight="true" outlineLevel="0" collapsed="false">
      <c r="A33" s="53" t="n">
        <v>46108</v>
      </c>
      <c r="B33" s="76"/>
      <c r="C33" s="67"/>
      <c r="D33" s="67" t="n">
        <v>5</v>
      </c>
      <c r="E33" s="55" t="n">
        <v>22750</v>
      </c>
      <c r="F33" s="67"/>
      <c r="G33" s="67"/>
      <c r="H33" s="67" t="n">
        <v>5</v>
      </c>
      <c r="I33" s="55" t="n">
        <v>39400</v>
      </c>
      <c r="J33" s="55" t="n">
        <v>2</v>
      </c>
      <c r="K33" s="55" t="n">
        <v>10150</v>
      </c>
      <c r="L33" s="55"/>
      <c r="M33" s="55"/>
      <c r="N33" s="55" t="n">
        <v>11</v>
      </c>
      <c r="O33" s="55" t="n">
        <v>10.5</v>
      </c>
      <c r="P33" s="56"/>
      <c r="Q33" s="57" t="n">
        <f aca="false">SUM(B33,D33,F33,H33,J33,L33)</f>
        <v>12</v>
      </c>
      <c r="R33" s="57" t="n">
        <f aca="false">SUM(C33,E33,G33,I33,K33,M33)</f>
        <v>72300</v>
      </c>
      <c r="S33" s="69" t="s">
        <v>77</v>
      </c>
      <c r="T33" s="70"/>
      <c r="U33" s="71"/>
      <c r="V33" s="72"/>
      <c r="W33" s="73"/>
      <c r="X33" s="75"/>
      <c r="Y33" s="49"/>
      <c r="Z33" s="49"/>
      <c r="AA33" s="65"/>
    </row>
    <row r="34" s="51" customFormat="true" ht="60" hidden="false" customHeight="true" outlineLevel="0" collapsed="false">
      <c r="A34" s="53" t="n">
        <v>46109</v>
      </c>
      <c r="B34" s="76"/>
      <c r="C34" s="67"/>
      <c r="D34" s="67" t="n">
        <v>3.5</v>
      </c>
      <c r="E34" s="55" t="n">
        <v>13500</v>
      </c>
      <c r="F34" s="67"/>
      <c r="G34" s="67"/>
      <c r="H34" s="67" t="n">
        <v>18</v>
      </c>
      <c r="I34" s="55" t="n">
        <v>104900</v>
      </c>
      <c r="J34" s="55"/>
      <c r="K34" s="55"/>
      <c r="L34" s="55"/>
      <c r="M34" s="55"/>
      <c r="N34" s="55" t="n">
        <v>21.5</v>
      </c>
      <c r="O34" s="55" t="n">
        <v>19</v>
      </c>
      <c r="P34" s="56" t="n">
        <v>5450</v>
      </c>
      <c r="Q34" s="57" t="n">
        <f aca="false">SUM(B34,D34,F34,H34,J34,L34)</f>
        <v>21.5</v>
      </c>
      <c r="R34" s="57" t="n">
        <f aca="false">SUM(C34,E34,G34,I34,K34,M34)</f>
        <v>118400</v>
      </c>
      <c r="S34" s="69" t="s">
        <v>75</v>
      </c>
      <c r="T34" s="70"/>
      <c r="U34" s="71"/>
      <c r="V34" s="72"/>
      <c r="W34" s="73"/>
      <c r="X34" s="75"/>
      <c r="Y34" s="49"/>
      <c r="Z34" s="49"/>
      <c r="AA34" s="65"/>
    </row>
    <row r="35" s="51" customFormat="true" ht="60" hidden="false" customHeight="true" outlineLevel="0" collapsed="false">
      <c r="A35" s="53" t="n">
        <v>46110</v>
      </c>
      <c r="B35" s="76"/>
      <c r="C35" s="67"/>
      <c r="D35" s="67" t="n">
        <v>4.5</v>
      </c>
      <c r="E35" s="55" t="n">
        <v>33550</v>
      </c>
      <c r="F35" s="67"/>
      <c r="G35" s="67"/>
      <c r="H35" s="67" t="n">
        <v>9.5</v>
      </c>
      <c r="I35" s="55" t="n">
        <v>74950</v>
      </c>
      <c r="J35" s="55"/>
      <c r="K35" s="55"/>
      <c r="L35" s="55"/>
      <c r="M35" s="55"/>
      <c r="N35" s="55" t="n">
        <v>20</v>
      </c>
      <c r="O35" s="55" t="n">
        <v>15.5</v>
      </c>
      <c r="P35" s="56"/>
      <c r="Q35" s="57" t="n">
        <f aca="false">SUM(B35,D35,F35,H35,J35,L35)</f>
        <v>14</v>
      </c>
      <c r="R35" s="57" t="n">
        <f aca="false">SUM(C35,E35,G35,I35,K35,M35)</f>
        <v>108500</v>
      </c>
      <c r="S35" s="69" t="s">
        <v>75</v>
      </c>
      <c r="T35" s="70"/>
      <c r="U35" s="71"/>
      <c r="V35" s="72"/>
      <c r="W35" s="73"/>
      <c r="X35" s="75"/>
      <c r="Y35" s="49"/>
      <c r="Z35" s="49"/>
      <c r="AA35" s="65"/>
    </row>
    <row r="36" s="51" customFormat="true" ht="60" hidden="false" customHeight="true" outlineLevel="0" collapsed="false">
      <c r="A36" s="53" t="n">
        <v>46111</v>
      </c>
      <c r="B36" s="76"/>
      <c r="C36" s="67"/>
      <c r="D36" s="67" t="n">
        <v>1</v>
      </c>
      <c r="E36" s="55" t="n">
        <v>5850</v>
      </c>
      <c r="F36" s="67"/>
      <c r="G36" s="67"/>
      <c r="H36" s="67" t="n">
        <v>8.5</v>
      </c>
      <c r="I36" s="55" t="n">
        <v>43100</v>
      </c>
      <c r="J36" s="55"/>
      <c r="K36" s="55"/>
      <c r="L36" s="55"/>
      <c r="M36" s="55"/>
      <c r="N36" s="55" t="n">
        <v>9</v>
      </c>
      <c r="O36" s="55" t="n">
        <v>10</v>
      </c>
      <c r="P36" s="56"/>
      <c r="Q36" s="57" t="n">
        <f aca="false">SUM(B36,D36,F36,H36,J36,L36)</f>
        <v>9.5</v>
      </c>
      <c r="R36" s="57" t="n">
        <f aca="false">SUM(C36,E36,G36,I36,K36,M36)</f>
        <v>48950</v>
      </c>
      <c r="S36" s="69" t="s">
        <v>79</v>
      </c>
      <c r="T36" s="70"/>
      <c r="U36" s="71"/>
      <c r="V36" s="72"/>
      <c r="W36" s="73"/>
      <c r="X36" s="75"/>
      <c r="Y36" s="49"/>
      <c r="Z36" s="49"/>
      <c r="AA36" s="65"/>
    </row>
    <row r="37" s="51" customFormat="true" ht="60" hidden="false" customHeight="true" outlineLevel="0" collapsed="false">
      <c r="A37" s="53" t="n">
        <v>46112</v>
      </c>
      <c r="B37" s="76"/>
      <c r="C37" s="67"/>
      <c r="D37" s="67" t="n">
        <v>7.5</v>
      </c>
      <c r="E37" s="55" t="n">
        <v>30250</v>
      </c>
      <c r="F37" s="67"/>
      <c r="G37" s="67"/>
      <c r="H37" s="67" t="n">
        <v>8.5</v>
      </c>
      <c r="I37" s="55" t="n">
        <v>70100</v>
      </c>
      <c r="J37" s="55"/>
      <c r="K37" s="55"/>
      <c r="L37" s="55"/>
      <c r="M37" s="55"/>
      <c r="N37" s="55" t="n">
        <v>13.5</v>
      </c>
      <c r="O37" s="55" t="n">
        <v>19.5</v>
      </c>
      <c r="P37" s="56" t="n">
        <v>13950</v>
      </c>
      <c r="Q37" s="57" t="n">
        <f aca="false">SUM(B37,D37,F37,H37,J37,L37)</f>
        <v>16</v>
      </c>
      <c r="R37" s="57" t="n">
        <f aca="false">SUM(C37,E37,G37,I37,K37,M37)</f>
        <v>100350</v>
      </c>
      <c r="S37" s="69" t="s">
        <v>79</v>
      </c>
      <c r="T37" s="70"/>
      <c r="U37" s="71"/>
      <c r="V37" s="72"/>
      <c r="W37" s="73"/>
      <c r="X37" s="75"/>
      <c r="Y37" s="49"/>
      <c r="Z37" s="49"/>
      <c r="AA37" s="65"/>
    </row>
    <row r="38" s="84" customFormat="true" ht="96.75" hidden="false" customHeight="true" outlineLevel="0" collapsed="false">
      <c r="A38" s="78"/>
      <c r="B38" s="79" t="n">
        <f aca="false">SUM(B7:B37)</f>
        <v>0</v>
      </c>
      <c r="C38" s="79" t="n">
        <f aca="false">SUM(C7:C37)</f>
        <v>0</v>
      </c>
      <c r="D38" s="79" t="n">
        <f aca="false">SUM(D7:D37)</f>
        <v>179</v>
      </c>
      <c r="E38" s="79" t="n">
        <f aca="false">SUM(E7:E37)</f>
        <v>1093560</v>
      </c>
      <c r="F38" s="79" t="n">
        <f aca="false">SUM(F7:F37)</f>
        <v>0</v>
      </c>
      <c r="G38" s="79" t="n">
        <f aca="false">SUM(G7:G37)</f>
        <v>0</v>
      </c>
      <c r="H38" s="79" t="n">
        <f aca="false">SUM(H7:H37)</f>
        <v>303.5</v>
      </c>
      <c r="I38" s="79" t="n">
        <f aca="false">SUM(I7:I37)</f>
        <v>1799950</v>
      </c>
      <c r="J38" s="79" t="n">
        <f aca="false">SUM(J7:J37)</f>
        <v>12.5</v>
      </c>
      <c r="K38" s="79" t="n">
        <f aca="false">SUM(K7:K37)</f>
        <v>88050</v>
      </c>
      <c r="L38" s="79" t="n">
        <f aca="false">SUM(L7:L37)</f>
        <v>0</v>
      </c>
      <c r="M38" s="79" t="n">
        <f aca="false">SUM(M7:M37)</f>
        <v>0</v>
      </c>
      <c r="N38" s="79" t="n">
        <f aca="false">SUM(N7:N37)</f>
        <v>638.5</v>
      </c>
      <c r="O38" s="79" t="n">
        <f aca="false">SUM(O7:O37)</f>
        <v>531.5</v>
      </c>
      <c r="P38" s="79" t="n">
        <f aca="false">SUM(P7:P37)</f>
        <v>234950</v>
      </c>
      <c r="Q38" s="79" t="n">
        <f aca="false">SUM(Q7:Q37)</f>
        <v>495</v>
      </c>
      <c r="R38" s="79" t="n">
        <f aca="false">SUM(R7:R37)</f>
        <v>2981560</v>
      </c>
      <c r="S38" s="79" t="n">
        <f aca="false">SUM(S7:S37)</f>
        <v>0</v>
      </c>
      <c r="T38" s="79" t="n">
        <f aca="false">SUM(T7:T37)</f>
        <v>0</v>
      </c>
      <c r="U38" s="79" t="n">
        <f aca="false">SUM(U7:U37)</f>
        <v>0</v>
      </c>
      <c r="V38" s="79" t="n">
        <f aca="false">SUM(V7:V37)</f>
        <v>0</v>
      </c>
      <c r="W38" s="79" t="n">
        <f aca="false">SUM(W7:W37)</f>
        <v>0</v>
      </c>
      <c r="X38" s="80" t="n">
        <f aca="false">SUM(X7:X37)</f>
        <v>0</v>
      </c>
      <c r="Y38" s="81" t="s">
        <v>39</v>
      </c>
      <c r="Z38" s="82"/>
      <c r="AA38" s="83"/>
    </row>
    <row r="39" s="96" customFormat="true" ht="109.5" hidden="false" customHeight="true" outlineLevel="0" collapsed="false">
      <c r="A39" s="85"/>
      <c r="B39" s="86"/>
      <c r="C39" s="86"/>
      <c r="D39" s="86"/>
      <c r="E39" s="86"/>
      <c r="F39" s="86"/>
      <c r="G39" s="86"/>
      <c r="H39" s="87" t="s">
        <v>40</v>
      </c>
      <c r="I39" s="86"/>
      <c r="J39" s="86"/>
      <c r="K39" s="86"/>
      <c r="L39" s="86"/>
      <c r="M39" s="86"/>
      <c r="N39" s="86"/>
      <c r="O39" s="86"/>
      <c r="P39" s="87" t="s">
        <v>40</v>
      </c>
      <c r="Q39" s="88" t="n">
        <f aca="false">SUM(Q7:Q37)</f>
        <v>495</v>
      </c>
      <c r="R39" s="89" t="n">
        <f aca="false">SUM(R7:R37)</f>
        <v>2981560</v>
      </c>
      <c r="S39" s="90"/>
      <c r="T39" s="91"/>
      <c r="U39" s="92" t="n">
        <f aca="false">U38+V38</f>
        <v>0</v>
      </c>
      <c r="V39" s="92"/>
      <c r="W39" s="93"/>
      <c r="X39" s="94"/>
      <c r="Y39" s="95" t="n">
        <f aca="false">C38-U38-V38</f>
        <v>0</v>
      </c>
      <c r="Z39" s="49"/>
      <c r="AA39" s="65"/>
    </row>
    <row r="40" s="51" customFormat="true" ht="30.75" hidden="false" customHeight="true" outlineLevel="0" collapsed="false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49"/>
      <c r="Z40" s="49"/>
      <c r="AA40" s="3"/>
    </row>
    <row r="41" s="51" customFormat="true" ht="60" hidden="false" customHeight="true" outlineLevel="0" collapsed="false">
      <c r="A41" s="97"/>
      <c r="B41" s="97"/>
      <c r="C41" s="98"/>
      <c r="D41" s="98" t="s">
        <v>41</v>
      </c>
      <c r="E41" s="98"/>
      <c r="F41" s="98"/>
      <c r="G41" s="98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9" t="n">
        <f aca="false">R38-R39</f>
        <v>0</v>
      </c>
      <c r="S41" s="97"/>
      <c r="T41" s="97"/>
      <c r="U41" s="97"/>
      <c r="V41" s="97"/>
      <c r="W41" s="97"/>
      <c r="X41" s="97"/>
      <c r="Y41" s="49"/>
      <c r="Z41" s="49"/>
      <c r="AA41" s="3"/>
    </row>
  </sheetData>
  <mergeCells count="15">
    <mergeCell ref="C2:V2"/>
    <mergeCell ref="H3:S3"/>
    <mergeCell ref="U3:X3"/>
    <mergeCell ref="A4:A5"/>
    <mergeCell ref="B4:C4"/>
    <mergeCell ref="D4:E4"/>
    <mergeCell ref="F4:G4"/>
    <mergeCell ref="H4:I4"/>
    <mergeCell ref="J4:K4"/>
    <mergeCell ref="L4:M4"/>
    <mergeCell ref="N4:N5"/>
    <mergeCell ref="O4:P4"/>
    <mergeCell ref="Q4:R4"/>
    <mergeCell ref="AC6:AC7"/>
    <mergeCell ref="U39:V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45"/>
  <sheetViews>
    <sheetView showFormulas="false" showGridLines="false" showRowColHeaders="true" showZeros="true" rightToLeft="false" tabSelected="false" showOutlineSymbols="true" defaultGridColor="true" view="normal" topLeftCell="A1" colorId="64" zoomScale="41" zoomScaleNormal="41" zoomScalePageLayoutView="27" workbookViewId="0">
      <pane xSplit="1" ySplit="0" topLeftCell="H1" activePane="topRight" state="frozen"/>
      <selection pane="topLeft" activeCell="A1" activeCellId="0" sqref="A1"/>
      <selection pane="topRight" activeCell="S46" activeCellId="0" sqref="S46"/>
    </sheetView>
  </sheetViews>
  <sheetFormatPr defaultColWidth="8.71484375" defaultRowHeight="25.5" zeroHeight="false" outlineLevelRow="0" outlineLevelCol="0"/>
  <cols>
    <col collapsed="false" customWidth="true" hidden="false" outlineLevel="0" max="2" min="1" style="1" width="51.86"/>
    <col collapsed="false" customWidth="true" hidden="false" outlineLevel="0" max="3" min="3" style="1" width="41.43"/>
    <col collapsed="false" customWidth="true" hidden="false" outlineLevel="0" max="9" min="4" style="1" width="39.86"/>
    <col collapsed="false" customWidth="true" hidden="false" outlineLevel="0" max="11" min="10" style="1" width="38.43"/>
    <col collapsed="false" customWidth="true" hidden="false" outlineLevel="0" max="15" min="12" style="1" width="33.86"/>
    <col collapsed="false" customWidth="true" hidden="false" outlineLevel="0" max="17" min="16" style="1" width="40.14"/>
    <col collapsed="false" customWidth="true" hidden="false" outlineLevel="0" max="18" min="18" style="1" width="50.57"/>
    <col collapsed="false" customWidth="true" hidden="false" outlineLevel="0" max="19" min="19" style="1" width="39.86"/>
    <col collapsed="false" customWidth="true" hidden="false" outlineLevel="0" max="20" min="20" style="1" width="19.57"/>
    <col collapsed="false" customWidth="true" hidden="false" outlineLevel="0" max="24" min="21" style="1" width="47.43"/>
    <col collapsed="false" customWidth="true" hidden="true" outlineLevel="0" max="25" min="25" style="1" width="47.43"/>
    <col collapsed="false" customWidth="true" hidden="false" outlineLevel="0" max="26" min="26" style="1" width="47.86"/>
    <col collapsed="false" customWidth="true" hidden="false" outlineLevel="0" max="27" min="27" style="1" width="71.86"/>
    <col collapsed="false" customWidth="true" hidden="false" outlineLevel="0" max="28" min="28" style="1" width="28.86"/>
    <col collapsed="false" customWidth="true" hidden="false" outlineLevel="0" max="29" min="29" style="1" width="55.43"/>
    <col collapsed="false" customWidth="true" hidden="false" outlineLevel="0" max="30" min="30" style="2" width="27.86"/>
    <col collapsed="false" customWidth="true" hidden="false" outlineLevel="0" max="31" min="31" style="2" width="22.28"/>
    <col collapsed="false" customWidth="true" hidden="false" outlineLevel="0" max="32" min="32" style="3" width="37"/>
    <col collapsed="false" customWidth="false" hidden="false" outlineLevel="0" max="33" min="33" style="4" width="8.71"/>
    <col collapsed="false" customWidth="true" hidden="false" outlineLevel="0" max="34" min="34" style="4" width="109.43"/>
    <col collapsed="false" customWidth="true" hidden="false" outlineLevel="0" max="35" min="35" style="4" width="19.86"/>
    <col collapsed="false" customWidth="false" hidden="false" outlineLevel="0" max="16384" min="36" style="4" width="8.71"/>
  </cols>
  <sheetData>
    <row r="1" customFormat="false" ht="25.5" hidden="false" customHeight="false" outlineLevel="0" collapsed="false"/>
    <row r="2" s="11" customFormat="true" ht="105" hidden="false" customHeight="true" outlineLevel="0" collapsed="false">
      <c r="A2" s="5"/>
      <c r="B2" s="5"/>
      <c r="C2" s="6" t="s">
        <v>81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105"/>
      <c r="AB2" s="7"/>
      <c r="AC2" s="8"/>
      <c r="AD2" s="9"/>
      <c r="AE2" s="9"/>
      <c r="AF2" s="10"/>
    </row>
    <row r="3" s="11" customFormat="true" ht="62.25" hidden="false" customHeight="true" outlineLevel="0" collapsed="false">
      <c r="A3" s="5"/>
      <c r="B3" s="5"/>
      <c r="C3" s="12"/>
      <c r="D3" s="12"/>
      <c r="E3" s="12"/>
      <c r="F3" s="13"/>
      <c r="G3" s="13"/>
      <c r="H3" s="14" t="n">
        <v>46082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2"/>
      <c r="U3" s="15" t="s">
        <v>1</v>
      </c>
      <c r="V3" s="15"/>
      <c r="W3" s="15"/>
      <c r="X3" s="15"/>
      <c r="Y3" s="15"/>
      <c r="Z3" s="15"/>
      <c r="AA3" s="15"/>
      <c r="AB3" s="9"/>
      <c r="AC3" s="9"/>
      <c r="AD3" s="10"/>
    </row>
    <row r="4" s="29" customFormat="true" ht="93.75" hidden="false" customHeight="true" outlineLevel="0" collapsed="false">
      <c r="A4" s="16" t="s">
        <v>2</v>
      </c>
      <c r="B4" s="17" t="s">
        <v>3</v>
      </c>
      <c r="C4" s="17"/>
      <c r="D4" s="17" t="s">
        <v>4</v>
      </c>
      <c r="E4" s="17"/>
      <c r="F4" s="17" t="s">
        <v>5</v>
      </c>
      <c r="G4" s="17"/>
      <c r="H4" s="17" t="s">
        <v>6</v>
      </c>
      <c r="I4" s="17"/>
      <c r="J4" s="18" t="s">
        <v>7</v>
      </c>
      <c r="K4" s="18"/>
      <c r="L4" s="18" t="s">
        <v>8</v>
      </c>
      <c r="M4" s="18"/>
      <c r="N4" s="19" t="s">
        <v>9</v>
      </c>
      <c r="O4" s="20" t="s">
        <v>10</v>
      </c>
      <c r="P4" s="20"/>
      <c r="Q4" s="21" t="s">
        <v>11</v>
      </c>
      <c r="R4" s="21"/>
      <c r="S4" s="22" t="s">
        <v>12</v>
      </c>
      <c r="T4" s="17"/>
      <c r="U4" s="23" t="s">
        <v>13</v>
      </c>
      <c r="V4" s="23" t="s">
        <v>14</v>
      </c>
      <c r="W4" s="106" t="s">
        <v>82</v>
      </c>
      <c r="X4" s="106" t="s">
        <v>14</v>
      </c>
      <c r="Y4" s="107" t="s">
        <v>16</v>
      </c>
      <c r="Z4" s="25" t="s">
        <v>15</v>
      </c>
      <c r="AA4" s="26" t="s">
        <v>16</v>
      </c>
      <c r="AB4" s="27" t="s">
        <v>17</v>
      </c>
      <c r="AC4" s="27"/>
      <c r="AD4" s="28"/>
    </row>
    <row r="5" s="29" customFormat="true" ht="93.75" hidden="false" customHeight="true" outlineLevel="0" collapsed="false">
      <c r="A5" s="16"/>
      <c r="B5" s="30" t="s">
        <v>18</v>
      </c>
      <c r="C5" s="31" t="s">
        <v>19</v>
      </c>
      <c r="D5" s="30" t="s">
        <v>18</v>
      </c>
      <c r="E5" s="31" t="s">
        <v>19</v>
      </c>
      <c r="F5" s="30" t="s">
        <v>18</v>
      </c>
      <c r="G5" s="31" t="s">
        <v>19</v>
      </c>
      <c r="H5" s="30" t="s">
        <v>18</v>
      </c>
      <c r="I5" s="31" t="s">
        <v>19</v>
      </c>
      <c r="J5" s="30" t="s">
        <v>18</v>
      </c>
      <c r="K5" s="31" t="s">
        <v>19</v>
      </c>
      <c r="L5" s="30" t="s">
        <v>18</v>
      </c>
      <c r="M5" s="31" t="s">
        <v>19</v>
      </c>
      <c r="N5" s="19"/>
      <c r="O5" s="32" t="s">
        <v>20</v>
      </c>
      <c r="P5" s="33" t="s">
        <v>19</v>
      </c>
      <c r="Q5" s="34" t="s">
        <v>21</v>
      </c>
      <c r="R5" s="35" t="s">
        <v>22</v>
      </c>
      <c r="S5" s="30"/>
      <c r="T5" s="31"/>
      <c r="U5" s="36"/>
      <c r="V5" s="36"/>
      <c r="W5" s="108"/>
      <c r="X5" s="108"/>
      <c r="Y5" s="109"/>
      <c r="Z5" s="38"/>
      <c r="AA5" s="39"/>
      <c r="AB5" s="27"/>
      <c r="AC5" s="27"/>
      <c r="AD5" s="28"/>
    </row>
    <row r="6" s="51" customFormat="true" ht="51.75" hidden="false" customHeight="true" outlineLevel="0" collapsed="false">
      <c r="A6" s="40" t="s">
        <v>23</v>
      </c>
      <c r="B6" s="41"/>
      <c r="C6" s="42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 t="s">
        <v>24</v>
      </c>
      <c r="Q6" s="44"/>
      <c r="R6" s="45"/>
      <c r="S6" s="46"/>
      <c r="T6" s="46"/>
      <c r="U6" s="43"/>
      <c r="V6" s="43"/>
      <c r="W6" s="110"/>
      <c r="X6" s="110"/>
      <c r="Y6" s="47"/>
      <c r="Z6" s="47"/>
      <c r="AA6" s="48"/>
      <c r="AB6" s="111" t="n">
        <f aca="false">C6</f>
        <v>0</v>
      </c>
      <c r="AC6" s="49"/>
      <c r="AD6" s="50" t="s">
        <v>25</v>
      </c>
      <c r="AF6" s="112"/>
    </row>
    <row r="7" s="51" customFormat="true" ht="60" hidden="false" customHeight="true" outlineLevel="0" collapsed="false">
      <c r="A7" s="53" t="n">
        <v>46082</v>
      </c>
      <c r="B7" s="54" t="n">
        <v>4.5</v>
      </c>
      <c r="C7" s="55" t="n">
        <v>24700</v>
      </c>
      <c r="D7" s="55" t="n">
        <v>6</v>
      </c>
      <c r="E7" s="55" t="n">
        <v>43350</v>
      </c>
      <c r="F7" s="55"/>
      <c r="G7" s="55"/>
      <c r="H7" s="55" t="n">
        <v>10.5</v>
      </c>
      <c r="I7" s="55" t="n">
        <v>67500</v>
      </c>
      <c r="J7" s="55" t="n">
        <v>1</v>
      </c>
      <c r="K7" s="55" t="n">
        <v>6100</v>
      </c>
      <c r="L7" s="55"/>
      <c r="M7" s="55"/>
      <c r="N7" s="55" t="n">
        <v>29.5</v>
      </c>
      <c r="O7" s="55"/>
      <c r="P7" s="56"/>
      <c r="Q7" s="57" t="n">
        <f aca="false">B7+D7+F7+H7+J7</f>
        <v>22</v>
      </c>
      <c r="R7" s="57" t="n">
        <f aca="false">C7+E7+G7+I7+K7</f>
        <v>141650</v>
      </c>
      <c r="S7" s="59" t="s">
        <v>83</v>
      </c>
      <c r="T7" s="60"/>
      <c r="U7" s="61" t="n">
        <v>25.5</v>
      </c>
      <c r="V7" s="61" t="n">
        <v>14000</v>
      </c>
      <c r="W7" s="113" t="n">
        <v>20</v>
      </c>
      <c r="X7" s="113" t="n">
        <v>14300</v>
      </c>
      <c r="Y7" s="114"/>
      <c r="Z7" s="73"/>
      <c r="AA7" s="115"/>
      <c r="AB7" s="49" t="n">
        <v>25.5</v>
      </c>
      <c r="AC7" s="116" t="n">
        <v>12550</v>
      </c>
      <c r="AD7" s="65"/>
      <c r="AE7" s="117" t="n">
        <f aca="false">AB7-W7</f>
        <v>5.5</v>
      </c>
      <c r="AF7" s="117" t="n">
        <f aca="false">AC7-X7</f>
        <v>-1750</v>
      </c>
      <c r="AG7" s="66"/>
    </row>
    <row r="8" s="51" customFormat="true" ht="60" hidden="false" customHeight="true" outlineLevel="0" collapsed="false">
      <c r="A8" s="53" t="n">
        <v>46083</v>
      </c>
      <c r="B8" s="54" t="n">
        <v>8.5</v>
      </c>
      <c r="C8" s="55" t="n">
        <v>55050</v>
      </c>
      <c r="D8" s="67" t="n">
        <v>2.5</v>
      </c>
      <c r="E8" s="55" t="n">
        <v>7600</v>
      </c>
      <c r="F8" s="67"/>
      <c r="G8" s="67"/>
      <c r="H8" s="67" t="n">
        <v>20.5</v>
      </c>
      <c r="I8" s="55" t="n">
        <v>98250</v>
      </c>
      <c r="J8" s="55" t="n">
        <v>3.5</v>
      </c>
      <c r="K8" s="55" t="n">
        <v>19050</v>
      </c>
      <c r="L8" s="55"/>
      <c r="M8" s="55"/>
      <c r="N8" s="55" t="n">
        <v>31</v>
      </c>
      <c r="O8" s="55"/>
      <c r="P8" s="56"/>
      <c r="Q8" s="57" t="n">
        <f aca="false">B8+D8+F8+H8+J8</f>
        <v>35</v>
      </c>
      <c r="R8" s="57" t="n">
        <f aca="false">C8+E8+G8+I8+K8</f>
        <v>179950</v>
      </c>
      <c r="S8" s="69" t="s">
        <v>83</v>
      </c>
      <c r="T8" s="70"/>
      <c r="U8" s="71" t="n">
        <v>31</v>
      </c>
      <c r="V8" s="71" t="n">
        <v>25150</v>
      </c>
      <c r="W8" s="118" t="n">
        <v>26</v>
      </c>
      <c r="X8" s="118" t="n">
        <v>13300</v>
      </c>
      <c r="Y8" s="119"/>
      <c r="Z8" s="73"/>
      <c r="AA8" s="75"/>
      <c r="AB8" s="49" t="n">
        <v>23</v>
      </c>
      <c r="AC8" s="116" t="n">
        <v>18650</v>
      </c>
      <c r="AD8" s="65"/>
      <c r="AE8" s="117" t="n">
        <f aca="false">AB8-W8</f>
        <v>-3</v>
      </c>
      <c r="AF8" s="117" t="n">
        <f aca="false">AC8-X8</f>
        <v>5350</v>
      </c>
    </row>
    <row r="9" s="51" customFormat="true" ht="60" hidden="false" customHeight="true" outlineLevel="0" collapsed="false">
      <c r="A9" s="53" t="n">
        <v>46084</v>
      </c>
      <c r="B9" s="54" t="n">
        <v>8.5</v>
      </c>
      <c r="C9" s="55" t="n">
        <v>75400</v>
      </c>
      <c r="D9" s="67" t="n">
        <v>1</v>
      </c>
      <c r="E9" s="55" t="n">
        <v>2750</v>
      </c>
      <c r="F9" s="67"/>
      <c r="G9" s="67"/>
      <c r="H9" s="67" t="n">
        <v>13</v>
      </c>
      <c r="I9" s="55" t="n">
        <v>43350</v>
      </c>
      <c r="J9" s="55"/>
      <c r="K9" s="55"/>
      <c r="L9" s="55"/>
      <c r="M9" s="55"/>
      <c r="N9" s="55" t="n">
        <v>29</v>
      </c>
      <c r="O9" s="55"/>
      <c r="P9" s="56"/>
      <c r="Q9" s="57" t="n">
        <f aca="false">B9+D9+F9+H9+J9</f>
        <v>22.5</v>
      </c>
      <c r="R9" s="57" t="n">
        <f aca="false">C9+E9+G9+I9+K9</f>
        <v>121500</v>
      </c>
      <c r="S9" s="69" t="s">
        <v>83</v>
      </c>
      <c r="T9" s="70"/>
      <c r="U9" s="71"/>
      <c r="V9" s="71"/>
      <c r="W9" s="118" t="n">
        <v>76</v>
      </c>
      <c r="X9" s="118" t="n">
        <v>86450</v>
      </c>
      <c r="Y9" s="119"/>
      <c r="Z9" s="73"/>
      <c r="AA9" s="75"/>
      <c r="AB9" s="49" t="n">
        <v>115.5</v>
      </c>
      <c r="AC9" s="116" t="n">
        <v>86000</v>
      </c>
      <c r="AD9" s="65"/>
      <c r="AE9" s="117" t="n">
        <f aca="false">AB9-W9</f>
        <v>39.5</v>
      </c>
      <c r="AF9" s="117" t="n">
        <f aca="false">AC9-X9</f>
        <v>-450</v>
      </c>
    </row>
    <row r="10" s="51" customFormat="true" ht="60" hidden="false" customHeight="true" outlineLevel="0" collapsed="false">
      <c r="A10" s="53" t="n">
        <v>46085</v>
      </c>
      <c r="B10" s="54" t="n">
        <v>5.5</v>
      </c>
      <c r="C10" s="67" t="n">
        <v>37500</v>
      </c>
      <c r="D10" s="67" t="n">
        <v>2</v>
      </c>
      <c r="E10" s="55" t="n">
        <v>13550</v>
      </c>
      <c r="F10" s="67"/>
      <c r="G10" s="67"/>
      <c r="H10" s="67" t="n">
        <v>16.5</v>
      </c>
      <c r="I10" s="55" t="n">
        <v>82950</v>
      </c>
      <c r="J10" s="55" t="n">
        <v>2.5</v>
      </c>
      <c r="K10" s="55" t="n">
        <v>12100</v>
      </c>
      <c r="L10" s="55"/>
      <c r="M10" s="55"/>
      <c r="N10" s="55" t="n">
        <v>26.5</v>
      </c>
      <c r="O10" s="55"/>
      <c r="P10" s="56"/>
      <c r="Q10" s="57" t="n">
        <f aca="false">B10+D10+F10+H10+J10</f>
        <v>26.5</v>
      </c>
      <c r="R10" s="57" t="n">
        <f aca="false">C10+E10+G10+I10+K10</f>
        <v>146100</v>
      </c>
      <c r="S10" s="69" t="s">
        <v>83</v>
      </c>
      <c r="T10" s="70"/>
      <c r="U10" s="71"/>
      <c r="V10" s="71"/>
      <c r="W10" s="118" t="n">
        <v>102.5</v>
      </c>
      <c r="X10" s="118" t="n">
        <v>41800</v>
      </c>
      <c r="Y10" s="119"/>
      <c r="Z10" s="73"/>
      <c r="AA10" s="75"/>
      <c r="AB10" s="49" t="n">
        <v>84</v>
      </c>
      <c r="AC10" s="116" t="n">
        <v>41050</v>
      </c>
      <c r="AD10" s="65"/>
      <c r="AE10" s="117" t="n">
        <f aca="false">AB10-W10</f>
        <v>-18.5</v>
      </c>
      <c r="AF10" s="117" t="n">
        <f aca="false">AC10-X10</f>
        <v>-750</v>
      </c>
    </row>
    <row r="11" s="51" customFormat="true" ht="60" hidden="false" customHeight="true" outlineLevel="0" collapsed="false">
      <c r="A11" s="53" t="n">
        <v>46086</v>
      </c>
      <c r="B11" s="54" t="n">
        <v>7</v>
      </c>
      <c r="C11" s="67" t="n">
        <v>38450</v>
      </c>
      <c r="D11" s="67"/>
      <c r="E11" s="55"/>
      <c r="F11" s="67"/>
      <c r="G11" s="67"/>
      <c r="H11" s="67" t="n">
        <v>12</v>
      </c>
      <c r="I11" s="55" t="n">
        <v>92000</v>
      </c>
      <c r="J11" s="55"/>
      <c r="K11" s="55"/>
      <c r="L11" s="55"/>
      <c r="M11" s="55"/>
      <c r="N11" s="55" t="n">
        <v>25.5</v>
      </c>
      <c r="O11" s="55"/>
      <c r="P11" s="56"/>
      <c r="Q11" s="57" t="n">
        <f aca="false">B11+D11+F11+H11+J11</f>
        <v>19</v>
      </c>
      <c r="R11" s="57" t="n">
        <f aca="false">C11+E11+G11+I11+K11</f>
        <v>130450</v>
      </c>
      <c r="S11" s="69" t="s">
        <v>84</v>
      </c>
      <c r="T11" s="70"/>
      <c r="U11" s="71"/>
      <c r="V11" s="71"/>
      <c r="W11" s="118" t="n">
        <v>55</v>
      </c>
      <c r="X11" s="118" t="n">
        <v>36050</v>
      </c>
      <c r="Y11" s="119"/>
      <c r="Z11" s="73"/>
      <c r="AA11" s="75"/>
      <c r="AB11" s="49" t="n">
        <v>41</v>
      </c>
      <c r="AC11" s="116" t="n">
        <v>31750</v>
      </c>
      <c r="AD11" s="65"/>
      <c r="AE11" s="117" t="n">
        <f aca="false">AB11-W11</f>
        <v>-14</v>
      </c>
      <c r="AF11" s="117" t="n">
        <f aca="false">AC11-X11</f>
        <v>-4300</v>
      </c>
    </row>
    <row r="12" s="51" customFormat="true" ht="60" hidden="false" customHeight="true" outlineLevel="0" collapsed="false">
      <c r="A12" s="53" t="n">
        <v>46087</v>
      </c>
      <c r="B12" s="54" t="n">
        <v>1</v>
      </c>
      <c r="C12" s="67" t="n">
        <v>5000</v>
      </c>
      <c r="D12" s="67" t="n">
        <v>2</v>
      </c>
      <c r="E12" s="55" t="n">
        <v>9350</v>
      </c>
      <c r="F12" s="67"/>
      <c r="G12" s="67"/>
      <c r="H12" s="67" t="n">
        <v>12.5</v>
      </c>
      <c r="I12" s="55" t="n">
        <v>95650</v>
      </c>
      <c r="J12" s="55"/>
      <c r="K12" s="55" t="n">
        <v>4150</v>
      </c>
      <c r="L12" s="55"/>
      <c r="M12" s="55"/>
      <c r="N12" s="55" t="n">
        <v>19</v>
      </c>
      <c r="O12" s="55"/>
      <c r="P12" s="56"/>
      <c r="Q12" s="57" t="n">
        <f aca="false">B12+D12+F12+H12+J12</f>
        <v>15.5</v>
      </c>
      <c r="R12" s="57" t="n">
        <f aca="false">C12+E12+G12+I12+K12</f>
        <v>114150</v>
      </c>
      <c r="S12" s="69" t="s">
        <v>83</v>
      </c>
      <c r="T12" s="70"/>
      <c r="U12" s="71"/>
      <c r="V12" s="71"/>
      <c r="W12" s="118" t="n">
        <v>24</v>
      </c>
      <c r="X12" s="118" t="n">
        <v>5150</v>
      </c>
      <c r="Y12" s="119"/>
      <c r="Z12" s="73"/>
      <c r="AA12" s="74"/>
      <c r="AB12" s="49" t="n">
        <v>22</v>
      </c>
      <c r="AC12" s="116" t="n">
        <v>6300</v>
      </c>
      <c r="AD12" s="65"/>
      <c r="AE12" s="117" t="n">
        <f aca="false">AB12-W12</f>
        <v>-2</v>
      </c>
      <c r="AF12" s="117" t="n">
        <f aca="false">AC12-X12</f>
        <v>1150</v>
      </c>
    </row>
    <row r="13" s="51" customFormat="true" ht="60" hidden="false" customHeight="true" outlineLevel="0" collapsed="false">
      <c r="A13" s="53" t="n">
        <v>46088</v>
      </c>
      <c r="B13" s="54" t="n">
        <v>8.5</v>
      </c>
      <c r="C13" s="67" t="n">
        <v>45400</v>
      </c>
      <c r="D13" s="67" t="n">
        <v>1</v>
      </c>
      <c r="E13" s="55" t="n">
        <v>6000</v>
      </c>
      <c r="F13" s="67"/>
      <c r="G13" s="67"/>
      <c r="H13" s="67" t="n">
        <v>8.5</v>
      </c>
      <c r="I13" s="55" t="n">
        <v>67650</v>
      </c>
      <c r="J13" s="55" t="n">
        <v>1</v>
      </c>
      <c r="K13" s="55" t="n">
        <v>3750</v>
      </c>
      <c r="L13" s="55"/>
      <c r="M13" s="55"/>
      <c r="N13" s="55" t="n">
        <v>28</v>
      </c>
      <c r="O13" s="55"/>
      <c r="P13" s="56"/>
      <c r="Q13" s="57" t="n">
        <f aca="false">B13+D13+F13+H13+J13</f>
        <v>19</v>
      </c>
      <c r="R13" s="57" t="n">
        <f aca="false">C13+E13+G13+I13+K13</f>
        <v>122800</v>
      </c>
      <c r="S13" s="69" t="s">
        <v>85</v>
      </c>
      <c r="T13" s="70"/>
      <c r="U13" s="71"/>
      <c r="V13" s="71"/>
      <c r="W13" s="118" t="n">
        <v>76.5</v>
      </c>
      <c r="X13" s="118" t="n">
        <v>48550</v>
      </c>
      <c r="Y13" s="119"/>
      <c r="Z13" s="73"/>
      <c r="AA13" s="75"/>
      <c r="AB13" s="49" t="n">
        <v>60</v>
      </c>
      <c r="AC13" s="116" t="n">
        <v>39300</v>
      </c>
      <c r="AD13" s="65"/>
      <c r="AE13" s="117" t="n">
        <f aca="false">AB13-W13</f>
        <v>-16.5</v>
      </c>
      <c r="AF13" s="117" t="n">
        <f aca="false">AC13-X13</f>
        <v>-9250</v>
      </c>
    </row>
    <row r="14" s="51" customFormat="true" ht="60" hidden="false" customHeight="true" outlineLevel="0" collapsed="false">
      <c r="A14" s="53" t="n">
        <v>46089</v>
      </c>
      <c r="B14" s="54" t="n">
        <v>4.5</v>
      </c>
      <c r="C14" s="67" t="n">
        <v>31500</v>
      </c>
      <c r="D14" s="67" t="n">
        <v>5</v>
      </c>
      <c r="E14" s="55" t="n">
        <v>19000</v>
      </c>
      <c r="F14" s="67"/>
      <c r="G14" s="67"/>
      <c r="H14" s="67" t="n">
        <v>13</v>
      </c>
      <c r="I14" s="55" t="n">
        <v>115850</v>
      </c>
      <c r="J14" s="55"/>
      <c r="K14" s="55"/>
      <c r="L14" s="55"/>
      <c r="M14" s="55"/>
      <c r="N14" s="55" t="n">
        <v>42</v>
      </c>
      <c r="O14" s="55"/>
      <c r="P14" s="56"/>
      <c r="Q14" s="57" t="n">
        <f aca="false">B14+D14+F14+H14+J14</f>
        <v>22.5</v>
      </c>
      <c r="R14" s="57" t="n">
        <f aca="false">C14+E14+G14+I14+K14</f>
        <v>166350</v>
      </c>
      <c r="S14" s="69" t="s">
        <v>83</v>
      </c>
      <c r="T14" s="70"/>
      <c r="U14" s="71"/>
      <c r="V14" s="71"/>
      <c r="W14" s="118" t="n">
        <v>47.5</v>
      </c>
      <c r="X14" s="118" t="n">
        <v>34050</v>
      </c>
      <c r="Y14" s="119"/>
      <c r="Z14" s="73"/>
      <c r="AA14" s="75"/>
      <c r="AB14" s="49" t="n">
        <v>52</v>
      </c>
      <c r="AC14" s="116" t="n">
        <v>29200</v>
      </c>
      <c r="AD14" s="65"/>
      <c r="AE14" s="117" t="n">
        <f aca="false">AB14-W14</f>
        <v>4.5</v>
      </c>
      <c r="AF14" s="117" t="n">
        <f aca="false">AC14-X14</f>
        <v>-4850</v>
      </c>
    </row>
    <row r="15" s="51" customFormat="true" ht="60" hidden="false" customHeight="true" outlineLevel="0" collapsed="false">
      <c r="A15" s="53" t="n">
        <v>46090</v>
      </c>
      <c r="B15" s="54" t="n">
        <v>13</v>
      </c>
      <c r="C15" s="67" t="n">
        <v>41350</v>
      </c>
      <c r="D15" s="67" t="n">
        <v>2.5</v>
      </c>
      <c r="E15" s="55" t="n">
        <v>17700</v>
      </c>
      <c r="F15" s="67"/>
      <c r="G15" s="67"/>
      <c r="H15" s="67" t="n">
        <v>11</v>
      </c>
      <c r="I15" s="55" t="n">
        <v>84650</v>
      </c>
      <c r="J15" s="55"/>
      <c r="K15" s="55"/>
      <c r="L15" s="55"/>
      <c r="M15" s="55"/>
      <c r="N15" s="55" t="n">
        <v>31.5</v>
      </c>
      <c r="O15" s="55"/>
      <c r="P15" s="56"/>
      <c r="Q15" s="57" t="n">
        <f aca="false">B15+D15+F15+H15+J15</f>
        <v>26.5</v>
      </c>
      <c r="R15" s="57" t="n">
        <f aca="false">C15+E15+G15+I15+K15</f>
        <v>143700</v>
      </c>
      <c r="S15" s="69" t="s">
        <v>83</v>
      </c>
      <c r="T15" s="70"/>
      <c r="U15" s="71"/>
      <c r="V15" s="71"/>
      <c r="W15" s="118" t="n">
        <v>69</v>
      </c>
      <c r="X15" s="118" t="n">
        <v>51400</v>
      </c>
      <c r="Y15" s="119" t="s">
        <v>86</v>
      </c>
      <c r="Z15" s="73" t="s">
        <v>87</v>
      </c>
      <c r="AA15" s="75" t="s">
        <v>86</v>
      </c>
      <c r="AB15" s="49" t="n">
        <v>53.5</v>
      </c>
      <c r="AC15" s="116" t="n">
        <v>62400</v>
      </c>
      <c r="AD15" s="65"/>
      <c r="AE15" s="117" t="n">
        <f aca="false">AB15-W15</f>
        <v>-15.5</v>
      </c>
      <c r="AF15" s="117" t="n">
        <f aca="false">AC15-X15</f>
        <v>11000</v>
      </c>
    </row>
    <row r="16" s="51" customFormat="true" ht="60" hidden="false" customHeight="true" outlineLevel="0" collapsed="false">
      <c r="A16" s="53" t="n">
        <v>46091</v>
      </c>
      <c r="B16" s="54" t="n">
        <v>7.5</v>
      </c>
      <c r="C16" s="67" t="n">
        <v>54250</v>
      </c>
      <c r="D16" s="67" t="n">
        <v>2.5</v>
      </c>
      <c r="E16" s="55" t="n">
        <v>7150</v>
      </c>
      <c r="F16" s="67"/>
      <c r="G16" s="67"/>
      <c r="H16" s="67" t="n">
        <v>11.5</v>
      </c>
      <c r="I16" s="55" t="n">
        <v>119150</v>
      </c>
      <c r="J16" s="55" t="n">
        <v>1.5</v>
      </c>
      <c r="K16" s="55" t="n">
        <v>12550</v>
      </c>
      <c r="L16" s="55"/>
      <c r="M16" s="55"/>
      <c r="N16" s="55" t="n">
        <v>38</v>
      </c>
      <c r="O16" s="55"/>
      <c r="P16" s="56"/>
      <c r="Q16" s="57" t="n">
        <f aca="false">B16+D16+F16+H16+J16</f>
        <v>23</v>
      </c>
      <c r="R16" s="57" t="n">
        <f aca="false">C16+E16+G16+I16+K16</f>
        <v>193100</v>
      </c>
      <c r="S16" s="69" t="s">
        <v>83</v>
      </c>
      <c r="T16" s="70"/>
      <c r="U16" s="71"/>
      <c r="V16" s="71"/>
      <c r="W16" s="118" t="n">
        <v>96.5</v>
      </c>
      <c r="X16" s="118" t="n">
        <v>55700</v>
      </c>
      <c r="Y16" s="119" t="s">
        <v>88</v>
      </c>
      <c r="Z16" s="73" t="s">
        <v>89</v>
      </c>
      <c r="AA16" s="75" t="s">
        <v>88</v>
      </c>
      <c r="AB16" s="49" t="n">
        <v>112</v>
      </c>
      <c r="AC16" s="116" t="n">
        <v>48850</v>
      </c>
      <c r="AD16" s="65"/>
      <c r="AE16" s="117" t="n">
        <f aca="false">AB16-W16</f>
        <v>15.5</v>
      </c>
      <c r="AF16" s="117" t="n">
        <f aca="false">AC16-X16</f>
        <v>-6850</v>
      </c>
    </row>
    <row r="17" s="51" customFormat="true" ht="60" hidden="false" customHeight="true" outlineLevel="0" collapsed="false">
      <c r="A17" s="53" t="n">
        <v>46092</v>
      </c>
      <c r="B17" s="54" t="n">
        <v>6</v>
      </c>
      <c r="C17" s="77" t="n">
        <v>50800</v>
      </c>
      <c r="D17" s="67" t="n">
        <v>5.5</v>
      </c>
      <c r="E17" s="55" t="n">
        <v>10550</v>
      </c>
      <c r="F17" s="67"/>
      <c r="G17" s="67"/>
      <c r="H17" s="67" t="n">
        <v>16</v>
      </c>
      <c r="I17" s="55" t="n">
        <v>128450</v>
      </c>
      <c r="J17" s="55" t="n">
        <v>3</v>
      </c>
      <c r="K17" s="55" t="n">
        <v>13400</v>
      </c>
      <c r="L17" s="55"/>
      <c r="M17" s="55"/>
      <c r="N17" s="55" t="n">
        <v>53</v>
      </c>
      <c r="O17" s="55"/>
      <c r="P17" s="56"/>
      <c r="Q17" s="57" t="n">
        <f aca="false">B17+D17+F17+H17+J17</f>
        <v>30.5</v>
      </c>
      <c r="R17" s="57" t="n">
        <f aca="false">C17+E17+G17+I17+K17</f>
        <v>203200</v>
      </c>
      <c r="S17" s="69" t="s">
        <v>83</v>
      </c>
      <c r="T17" s="70"/>
      <c r="U17" s="71"/>
      <c r="V17" s="71"/>
      <c r="W17" s="118" t="n">
        <v>51.5</v>
      </c>
      <c r="X17" s="118" t="n">
        <v>48000</v>
      </c>
      <c r="Y17" s="119"/>
      <c r="Z17" s="73"/>
      <c r="AA17" s="75"/>
      <c r="AB17" s="49" t="n">
        <v>46.5</v>
      </c>
      <c r="AC17" s="116" t="n">
        <v>36200</v>
      </c>
      <c r="AD17" s="65"/>
      <c r="AE17" s="117" t="n">
        <f aca="false">AB17-W17</f>
        <v>-5</v>
      </c>
      <c r="AF17" s="117" t="n">
        <f aca="false">AC17-X17</f>
        <v>-11800</v>
      </c>
    </row>
    <row r="18" s="51" customFormat="true" ht="60" hidden="false" customHeight="true" outlineLevel="0" collapsed="false">
      <c r="A18" s="53" t="n">
        <v>46093</v>
      </c>
      <c r="B18" s="54" t="n">
        <v>6</v>
      </c>
      <c r="C18" s="67" t="n">
        <v>35250</v>
      </c>
      <c r="D18" s="67" t="n">
        <v>3.5</v>
      </c>
      <c r="E18" s="55" t="n">
        <v>17050</v>
      </c>
      <c r="F18" s="67"/>
      <c r="G18" s="67"/>
      <c r="H18" s="67" t="n">
        <v>12</v>
      </c>
      <c r="I18" s="55" t="n">
        <v>77400</v>
      </c>
      <c r="J18" s="55" t="n">
        <v>1</v>
      </c>
      <c r="K18" s="55" t="n">
        <v>6300</v>
      </c>
      <c r="L18" s="55"/>
      <c r="M18" s="55"/>
      <c r="N18" s="55" t="n">
        <v>20</v>
      </c>
      <c r="O18" s="55"/>
      <c r="P18" s="56"/>
      <c r="Q18" s="57" t="n">
        <f aca="false">B18+D18+F18+H18+J18</f>
        <v>22.5</v>
      </c>
      <c r="R18" s="57" t="n">
        <f aca="false">C18+E18+G18+I18+K18</f>
        <v>136000</v>
      </c>
      <c r="S18" s="69" t="s">
        <v>83</v>
      </c>
      <c r="T18" s="70"/>
      <c r="U18" s="71" t="n">
        <v>40050</v>
      </c>
      <c r="V18" s="71" t="n">
        <v>46</v>
      </c>
      <c r="W18" s="118"/>
      <c r="X18" s="118"/>
      <c r="Y18" s="119"/>
      <c r="Z18" s="73"/>
      <c r="AA18" s="74"/>
      <c r="AB18" s="49"/>
      <c r="AC18" s="49"/>
      <c r="AD18" s="65"/>
      <c r="AE18" s="117" t="n">
        <f aca="false">AB18-W18</f>
        <v>0</v>
      </c>
      <c r="AF18" s="117" t="n">
        <f aca="false">AC18-X18</f>
        <v>0</v>
      </c>
    </row>
    <row r="19" s="51" customFormat="true" ht="60" hidden="false" customHeight="true" outlineLevel="0" collapsed="false">
      <c r="A19" s="53" t="n">
        <v>46094</v>
      </c>
      <c r="B19" s="54" t="n">
        <v>4.5</v>
      </c>
      <c r="C19" s="67" t="n">
        <v>21900</v>
      </c>
      <c r="D19" s="67" t="n">
        <v>1</v>
      </c>
      <c r="E19" s="55" t="n">
        <v>5350</v>
      </c>
      <c r="F19" s="67"/>
      <c r="G19" s="67"/>
      <c r="H19" s="67" t="n">
        <v>15</v>
      </c>
      <c r="I19" s="55" t="n">
        <v>65100</v>
      </c>
      <c r="J19" s="55"/>
      <c r="K19" s="55"/>
      <c r="L19" s="55"/>
      <c r="M19" s="55"/>
      <c r="N19" s="55" t="n">
        <v>20</v>
      </c>
      <c r="O19" s="55"/>
      <c r="P19" s="56"/>
      <c r="Q19" s="57" t="n">
        <f aca="false">B19+D19+F19+H19+J19</f>
        <v>20.5</v>
      </c>
      <c r="R19" s="57" t="n">
        <f aca="false">C19+E19+G19+I19+K19</f>
        <v>92350</v>
      </c>
      <c r="S19" s="69" t="s">
        <v>83</v>
      </c>
      <c r="T19" s="70"/>
      <c r="U19" s="71" t="n">
        <v>14050</v>
      </c>
      <c r="V19" s="71" t="n">
        <v>23</v>
      </c>
      <c r="W19" s="118" t="n">
        <v>31.5</v>
      </c>
      <c r="X19" s="118" t="n">
        <v>21150</v>
      </c>
      <c r="Y19" s="119"/>
      <c r="Z19" s="73"/>
      <c r="AA19" s="75"/>
      <c r="AB19" s="49" t="n">
        <v>20.5</v>
      </c>
      <c r="AC19" s="116" t="n">
        <v>16150</v>
      </c>
      <c r="AD19" s="65"/>
      <c r="AE19" s="117" t="n">
        <f aca="false">AB19-W19</f>
        <v>-11</v>
      </c>
      <c r="AF19" s="117" t="n">
        <f aca="false">AC19-X19</f>
        <v>-5000</v>
      </c>
    </row>
    <row r="20" s="51" customFormat="true" ht="60" hidden="false" customHeight="true" outlineLevel="0" collapsed="false">
      <c r="A20" s="53" t="n">
        <v>46095</v>
      </c>
      <c r="B20" s="54" t="n">
        <v>2.5</v>
      </c>
      <c r="C20" s="67" t="n">
        <v>43350</v>
      </c>
      <c r="D20" s="67" t="n">
        <v>1.5</v>
      </c>
      <c r="E20" s="55" t="n">
        <v>7500</v>
      </c>
      <c r="F20" s="67"/>
      <c r="G20" s="67"/>
      <c r="H20" s="67" t="n">
        <v>29.5</v>
      </c>
      <c r="I20" s="55" t="n">
        <v>73700</v>
      </c>
      <c r="J20" s="55" t="n">
        <v>1</v>
      </c>
      <c r="K20" s="55" t="n">
        <v>2300</v>
      </c>
      <c r="L20" s="55"/>
      <c r="M20" s="55"/>
      <c r="N20" s="55" t="n">
        <v>36</v>
      </c>
      <c r="O20" s="55"/>
      <c r="P20" s="56"/>
      <c r="Q20" s="57" t="n">
        <f aca="false">B20+D20+F20+H20+J20</f>
        <v>34.5</v>
      </c>
      <c r="R20" s="57" t="n">
        <f aca="false">C20+E20+G20+I20+K20</f>
        <v>126850</v>
      </c>
      <c r="S20" s="69" t="s">
        <v>83</v>
      </c>
      <c r="T20" s="70"/>
      <c r="U20" s="71"/>
      <c r="V20" s="71"/>
      <c r="W20" s="118" t="n">
        <v>85</v>
      </c>
      <c r="X20" s="118" t="n">
        <v>63500</v>
      </c>
      <c r="Y20" s="119"/>
      <c r="Z20" s="73"/>
      <c r="AA20" s="75"/>
      <c r="AB20" s="49" t="n">
        <v>92.5</v>
      </c>
      <c r="AC20" s="116" t="n">
        <v>62900</v>
      </c>
      <c r="AD20" s="65"/>
      <c r="AE20" s="117" t="n">
        <f aca="false">AB20-W20</f>
        <v>7.5</v>
      </c>
      <c r="AF20" s="117" t="n">
        <f aca="false">AC20-X20</f>
        <v>-600</v>
      </c>
    </row>
    <row r="21" s="51" customFormat="true" ht="60" hidden="false" customHeight="true" outlineLevel="0" collapsed="false">
      <c r="A21" s="53" t="n">
        <v>46096</v>
      </c>
      <c r="B21" s="76" t="n">
        <v>4.5</v>
      </c>
      <c r="C21" s="67" t="n">
        <v>27350</v>
      </c>
      <c r="D21" s="67" t="n">
        <v>3.5</v>
      </c>
      <c r="E21" s="55" t="n">
        <v>13500</v>
      </c>
      <c r="F21" s="67"/>
      <c r="G21" s="67"/>
      <c r="H21" s="67" t="n">
        <v>12.5</v>
      </c>
      <c r="I21" s="55" t="n">
        <v>71200</v>
      </c>
      <c r="J21" s="55" t="n">
        <v>2</v>
      </c>
      <c r="K21" s="55" t="n">
        <v>12400</v>
      </c>
      <c r="L21" s="55"/>
      <c r="M21" s="55"/>
      <c r="N21" s="55" t="n">
        <v>34.5</v>
      </c>
      <c r="O21" s="55"/>
      <c r="P21" s="56"/>
      <c r="Q21" s="57" t="n">
        <f aca="false">B21+D21+F21+H21+J21</f>
        <v>22.5</v>
      </c>
      <c r="R21" s="57" t="n">
        <f aca="false">C21+E21+G21+I21+K21</f>
        <v>124450</v>
      </c>
      <c r="S21" s="69" t="s">
        <v>85</v>
      </c>
      <c r="T21" s="70"/>
      <c r="U21" s="71"/>
      <c r="V21" s="71"/>
      <c r="W21" s="118" t="n">
        <v>36.5</v>
      </c>
      <c r="X21" s="118" t="n">
        <v>21750</v>
      </c>
      <c r="Y21" s="119"/>
      <c r="Z21" s="73"/>
      <c r="AA21" s="75"/>
      <c r="AB21" s="49" t="n">
        <v>53.5</v>
      </c>
      <c r="AC21" s="116" t="n">
        <v>19000</v>
      </c>
      <c r="AD21" s="65"/>
      <c r="AE21" s="117" t="n">
        <f aca="false">AB21-W21</f>
        <v>17</v>
      </c>
      <c r="AF21" s="117" t="n">
        <f aca="false">AC21-X21</f>
        <v>-2750</v>
      </c>
    </row>
    <row r="22" s="51" customFormat="true" ht="60" hidden="false" customHeight="true" outlineLevel="0" collapsed="false">
      <c r="A22" s="53" t="n">
        <v>46097</v>
      </c>
      <c r="B22" s="76" t="n">
        <v>12</v>
      </c>
      <c r="C22" s="67" t="n">
        <v>75600</v>
      </c>
      <c r="D22" s="67" t="n">
        <v>3.5</v>
      </c>
      <c r="E22" s="55" t="n">
        <v>9300</v>
      </c>
      <c r="F22" s="67"/>
      <c r="G22" s="67"/>
      <c r="H22" s="67" t="n">
        <v>16.5</v>
      </c>
      <c r="I22" s="55" t="n">
        <v>134800</v>
      </c>
      <c r="J22" s="55" t="n">
        <v>2.5</v>
      </c>
      <c r="K22" s="55" t="n">
        <v>17350</v>
      </c>
      <c r="L22" s="55"/>
      <c r="M22" s="55"/>
      <c r="N22" s="55" t="n">
        <v>42</v>
      </c>
      <c r="O22" s="55"/>
      <c r="P22" s="56"/>
      <c r="Q22" s="57" t="n">
        <f aca="false">B22+D22+F22+H22+J22</f>
        <v>34.5</v>
      </c>
      <c r="R22" s="57" t="n">
        <f aca="false">C22+E22+G22+I22+K22</f>
        <v>237050</v>
      </c>
      <c r="S22" s="69" t="s">
        <v>83</v>
      </c>
      <c r="T22" s="70"/>
      <c r="U22" s="71" t="n">
        <v>54600</v>
      </c>
      <c r="V22" s="71" t="n">
        <v>75</v>
      </c>
      <c r="W22" s="118" t="n">
        <v>42.5</v>
      </c>
      <c r="X22" s="118" t="n">
        <v>27250</v>
      </c>
      <c r="Y22" s="119"/>
      <c r="Z22" s="73"/>
      <c r="AA22" s="75"/>
      <c r="AB22" s="49" t="n">
        <v>39</v>
      </c>
      <c r="AC22" s="116" t="n">
        <v>25200</v>
      </c>
      <c r="AD22" s="65"/>
      <c r="AE22" s="117" t="n">
        <f aca="false">AB22-W22</f>
        <v>-3.5</v>
      </c>
      <c r="AF22" s="117" t="n">
        <f aca="false">AC22-X22</f>
        <v>-2050</v>
      </c>
    </row>
    <row r="23" s="51" customFormat="true" ht="60" hidden="false" customHeight="true" outlineLevel="0" collapsed="false">
      <c r="A23" s="53" t="n">
        <v>46098</v>
      </c>
      <c r="B23" s="76" t="n">
        <v>10.5</v>
      </c>
      <c r="C23" s="67" t="n">
        <v>54400</v>
      </c>
      <c r="D23" s="67" t="n">
        <v>3.5</v>
      </c>
      <c r="E23" s="55" t="n">
        <v>13700</v>
      </c>
      <c r="F23" s="67"/>
      <c r="G23" s="67"/>
      <c r="H23" s="67" t="n">
        <v>3</v>
      </c>
      <c r="I23" s="55" t="n">
        <v>12300</v>
      </c>
      <c r="J23" s="55" t="n">
        <v>1</v>
      </c>
      <c r="K23" s="55" t="n">
        <v>5500</v>
      </c>
      <c r="L23" s="55"/>
      <c r="M23" s="55"/>
      <c r="N23" s="55" t="n">
        <v>21.5</v>
      </c>
      <c r="O23" s="55"/>
      <c r="P23" s="56"/>
      <c r="Q23" s="57" t="n">
        <f aca="false">B23+D23+F23+H23+J23</f>
        <v>18</v>
      </c>
      <c r="R23" s="57" t="n">
        <f aca="false">C23+E23+G23+I23+K23</f>
        <v>85900</v>
      </c>
      <c r="S23" s="69" t="s">
        <v>83</v>
      </c>
      <c r="T23" s="70"/>
      <c r="U23" s="71"/>
      <c r="V23" s="71"/>
      <c r="W23" s="118" t="n">
        <v>61</v>
      </c>
      <c r="X23" s="118" t="n">
        <v>51000</v>
      </c>
      <c r="Y23" s="119"/>
      <c r="Z23" s="73" t="s">
        <v>87</v>
      </c>
      <c r="AA23" s="75" t="s">
        <v>86</v>
      </c>
      <c r="AB23" s="49" t="n">
        <v>98.5</v>
      </c>
      <c r="AC23" s="116" t="n">
        <v>53700</v>
      </c>
      <c r="AD23" s="65"/>
      <c r="AE23" s="117" t="n">
        <f aca="false">AB23-W23</f>
        <v>37.5</v>
      </c>
      <c r="AF23" s="117" t="n">
        <f aca="false">AC23-X23</f>
        <v>2700</v>
      </c>
    </row>
    <row r="24" s="51" customFormat="true" ht="60" hidden="false" customHeight="true" outlineLevel="0" collapsed="false">
      <c r="A24" s="53" t="n">
        <v>46099</v>
      </c>
      <c r="B24" s="76" t="n">
        <v>6</v>
      </c>
      <c r="C24" s="67" t="n">
        <v>47900</v>
      </c>
      <c r="D24" s="67" t="n">
        <v>1</v>
      </c>
      <c r="E24" s="55" t="n">
        <v>6600</v>
      </c>
      <c r="F24" s="67"/>
      <c r="G24" s="67"/>
      <c r="H24" s="67" t="n">
        <v>14.5</v>
      </c>
      <c r="I24" s="55" t="n">
        <v>74050</v>
      </c>
      <c r="J24" s="55" t="n">
        <v>2.5</v>
      </c>
      <c r="K24" s="55" t="n">
        <v>17850</v>
      </c>
      <c r="L24" s="55"/>
      <c r="M24" s="55"/>
      <c r="N24" s="55" t="n">
        <v>31.5</v>
      </c>
      <c r="O24" s="55"/>
      <c r="P24" s="56"/>
      <c r="Q24" s="57" t="n">
        <f aca="false">B24+D24+F24+H24+J24</f>
        <v>24</v>
      </c>
      <c r="R24" s="57" t="n">
        <f aca="false">C24+E24+G24+I24+K24</f>
        <v>146400</v>
      </c>
      <c r="S24" s="69" t="s">
        <v>83</v>
      </c>
      <c r="T24" s="70"/>
      <c r="U24" s="71"/>
      <c r="V24" s="71"/>
      <c r="W24" s="118" t="n">
        <v>98.5</v>
      </c>
      <c r="X24" s="118" t="n">
        <v>56350</v>
      </c>
      <c r="Y24" s="119"/>
      <c r="Z24" s="73" t="s">
        <v>90</v>
      </c>
      <c r="AA24" s="75" t="s">
        <v>86</v>
      </c>
      <c r="AB24" s="49" t="n">
        <v>67</v>
      </c>
      <c r="AC24" s="116" t="n">
        <v>47800</v>
      </c>
      <c r="AD24" s="65"/>
      <c r="AE24" s="117" t="n">
        <f aca="false">AB24-W24</f>
        <v>-31.5</v>
      </c>
      <c r="AF24" s="117" t="n">
        <f aca="false">AC24-X24</f>
        <v>-8550</v>
      </c>
    </row>
    <row r="25" s="51" customFormat="true" ht="60" hidden="false" customHeight="true" outlineLevel="0" collapsed="false">
      <c r="A25" s="53" t="n">
        <v>46100</v>
      </c>
      <c r="B25" s="76" t="n">
        <v>7.5</v>
      </c>
      <c r="C25" s="67" t="n">
        <v>39250</v>
      </c>
      <c r="D25" s="67" t="n">
        <v>1</v>
      </c>
      <c r="E25" s="55" t="n">
        <v>5000</v>
      </c>
      <c r="F25" s="67"/>
      <c r="G25" s="67"/>
      <c r="H25" s="67" t="n">
        <v>21.5</v>
      </c>
      <c r="I25" s="55" t="n">
        <v>132250</v>
      </c>
      <c r="J25" s="55"/>
      <c r="K25" s="55"/>
      <c r="L25" s="55"/>
      <c r="M25" s="55"/>
      <c r="N25" s="55" t="n">
        <v>46.5</v>
      </c>
      <c r="O25" s="55"/>
      <c r="P25" s="56"/>
      <c r="Q25" s="57" t="n">
        <f aca="false">B25+D25+F25+H25+J25</f>
        <v>30</v>
      </c>
      <c r="R25" s="57" t="n">
        <f aca="false">C25+E25+G25+I25+K25</f>
        <v>176500</v>
      </c>
      <c r="S25" s="69" t="s">
        <v>85</v>
      </c>
      <c r="T25" s="70"/>
      <c r="U25" s="71"/>
      <c r="V25" s="71"/>
      <c r="W25" s="118" t="n">
        <v>61.5</v>
      </c>
      <c r="X25" s="118" t="n">
        <v>50100</v>
      </c>
      <c r="Y25" s="119"/>
      <c r="Z25" s="73"/>
      <c r="AA25" s="75"/>
      <c r="AB25" s="49" t="n">
        <v>82.5</v>
      </c>
      <c r="AC25" s="116" t="n">
        <v>34400</v>
      </c>
      <c r="AD25" s="65"/>
      <c r="AE25" s="117" t="n">
        <f aca="false">AB25-W25</f>
        <v>21</v>
      </c>
      <c r="AF25" s="117" t="n">
        <f aca="false">AC25-X25</f>
        <v>-15700</v>
      </c>
    </row>
    <row r="26" s="51" customFormat="true" ht="60" hidden="false" customHeight="true" outlineLevel="0" collapsed="false">
      <c r="A26" s="53" t="n">
        <v>46101</v>
      </c>
      <c r="B26" s="76" t="n">
        <v>13.5</v>
      </c>
      <c r="C26" s="67" t="n">
        <v>53800</v>
      </c>
      <c r="D26" s="67" t="n">
        <v>8.5</v>
      </c>
      <c r="E26" s="55" t="n">
        <v>72000</v>
      </c>
      <c r="F26" s="67"/>
      <c r="G26" s="67"/>
      <c r="H26" s="67" t="n">
        <v>10</v>
      </c>
      <c r="I26" s="55" t="n">
        <v>144200</v>
      </c>
      <c r="J26" s="55"/>
      <c r="K26" s="55"/>
      <c r="L26" s="55"/>
      <c r="M26" s="55"/>
      <c r="N26" s="55" t="n">
        <v>54.5</v>
      </c>
      <c r="O26" s="55"/>
      <c r="P26" s="56"/>
      <c r="Q26" s="57" t="n">
        <f aca="false">B26+D26+F26+H26+J26</f>
        <v>32</v>
      </c>
      <c r="R26" s="57" t="n">
        <f aca="false">C26+E26+G26+I26+K26</f>
        <v>270000</v>
      </c>
      <c r="S26" s="69" t="s">
        <v>83</v>
      </c>
      <c r="T26" s="70"/>
      <c r="U26" s="71"/>
      <c r="V26" s="71"/>
      <c r="W26" s="118" t="n">
        <v>100.5</v>
      </c>
      <c r="X26" s="118" t="n">
        <v>65800</v>
      </c>
      <c r="Y26" s="119"/>
      <c r="Z26" s="73" t="s">
        <v>91</v>
      </c>
      <c r="AA26" s="75" t="s">
        <v>92</v>
      </c>
      <c r="AB26" s="49" t="n">
        <v>17</v>
      </c>
      <c r="AC26" s="116" t="n">
        <v>12800</v>
      </c>
      <c r="AD26" s="65"/>
      <c r="AE26" s="117" t="n">
        <f aca="false">AB26-W26</f>
        <v>-83.5</v>
      </c>
      <c r="AF26" s="117" t="n">
        <f aca="false">AC26-X26</f>
        <v>-53000</v>
      </c>
    </row>
    <row r="27" s="51" customFormat="true" ht="60" hidden="false" customHeight="true" outlineLevel="0" collapsed="false">
      <c r="A27" s="53" t="n">
        <v>46102</v>
      </c>
      <c r="B27" s="76" t="n">
        <v>9.5</v>
      </c>
      <c r="C27" s="77" t="n">
        <v>42700</v>
      </c>
      <c r="D27" s="67" t="n">
        <v>4.5</v>
      </c>
      <c r="E27" s="55" t="n">
        <v>37450</v>
      </c>
      <c r="F27" s="67"/>
      <c r="G27" s="67"/>
      <c r="H27" s="67" t="n">
        <v>17</v>
      </c>
      <c r="I27" s="55" t="n">
        <v>154450</v>
      </c>
      <c r="J27" s="55"/>
      <c r="K27" s="55"/>
      <c r="L27" s="55"/>
      <c r="M27" s="55"/>
      <c r="N27" s="55" t="n">
        <v>41</v>
      </c>
      <c r="O27" s="55"/>
      <c r="P27" s="56"/>
      <c r="Q27" s="57" t="n">
        <f aca="false">B27+D27+F27+H27+J27</f>
        <v>31</v>
      </c>
      <c r="R27" s="57" t="n">
        <f aca="false">C27+E27+G27+I27+K27</f>
        <v>234600</v>
      </c>
      <c r="S27" s="69" t="s">
        <v>83</v>
      </c>
      <c r="T27" s="70"/>
      <c r="U27" s="71" t="n">
        <v>25800</v>
      </c>
      <c r="V27" s="71" t="n">
        <v>44</v>
      </c>
      <c r="W27" s="118" t="n">
        <v>45</v>
      </c>
      <c r="X27" s="118" t="n">
        <v>21650</v>
      </c>
      <c r="Y27" s="119"/>
      <c r="Z27" s="73" t="s">
        <v>93</v>
      </c>
      <c r="AA27" s="75" t="s">
        <v>92</v>
      </c>
      <c r="AB27" s="49" t="n">
        <v>50</v>
      </c>
      <c r="AC27" s="116" t="n">
        <v>25750</v>
      </c>
      <c r="AD27" s="65"/>
      <c r="AE27" s="117" t="n">
        <f aca="false">AB27-W27</f>
        <v>5</v>
      </c>
      <c r="AF27" s="117" t="n">
        <f aca="false">AC27-X27</f>
        <v>4100</v>
      </c>
    </row>
    <row r="28" s="51" customFormat="true" ht="60" hidden="false" customHeight="true" outlineLevel="0" collapsed="false">
      <c r="A28" s="53" t="n">
        <v>46103</v>
      </c>
      <c r="B28" s="76" t="n">
        <v>11</v>
      </c>
      <c r="C28" s="67" t="n">
        <v>80050</v>
      </c>
      <c r="D28" s="67" t="n">
        <v>1.5</v>
      </c>
      <c r="E28" s="55" t="n">
        <v>11100</v>
      </c>
      <c r="F28" s="67"/>
      <c r="G28" s="67"/>
      <c r="H28" s="67" t="n">
        <v>11.5</v>
      </c>
      <c r="I28" s="55" t="n">
        <v>114350</v>
      </c>
      <c r="J28" s="55"/>
      <c r="K28" s="55"/>
      <c r="L28" s="55"/>
      <c r="M28" s="55"/>
      <c r="N28" s="55" t="n">
        <v>30</v>
      </c>
      <c r="O28" s="55"/>
      <c r="P28" s="56"/>
      <c r="Q28" s="57" t="n">
        <f aca="false">B28+D28+F28+H28+J28</f>
        <v>24</v>
      </c>
      <c r="R28" s="57" t="n">
        <f aca="false">C28+E28+G28+I28+K28</f>
        <v>205500</v>
      </c>
      <c r="S28" s="69" t="s">
        <v>84</v>
      </c>
      <c r="T28" s="70"/>
      <c r="U28" s="71"/>
      <c r="V28" s="71"/>
      <c r="W28" s="118" t="n">
        <v>115.5</v>
      </c>
      <c r="X28" s="118" t="n">
        <v>73200</v>
      </c>
      <c r="Y28" s="119"/>
      <c r="Z28" s="73"/>
      <c r="AA28" s="75"/>
      <c r="AB28" s="49" t="n">
        <v>95.5</v>
      </c>
      <c r="AC28" s="116" t="n">
        <v>75200</v>
      </c>
      <c r="AD28" s="65"/>
      <c r="AE28" s="117" t="n">
        <f aca="false">AB28-W28</f>
        <v>-20</v>
      </c>
      <c r="AF28" s="117" t="n">
        <f aca="false">AC28-X28</f>
        <v>2000</v>
      </c>
    </row>
    <row r="29" s="51" customFormat="true" ht="60" hidden="false" customHeight="true" outlineLevel="0" collapsed="false">
      <c r="A29" s="53" t="n">
        <v>46104</v>
      </c>
      <c r="B29" s="76" t="n">
        <v>5</v>
      </c>
      <c r="C29" s="67" t="n">
        <v>25200</v>
      </c>
      <c r="D29" s="67"/>
      <c r="E29" s="55"/>
      <c r="F29" s="67"/>
      <c r="G29" s="67"/>
      <c r="H29" s="67" t="n">
        <v>15.5</v>
      </c>
      <c r="I29" s="55" t="n">
        <v>120600</v>
      </c>
      <c r="J29" s="55" t="n">
        <v>1.5</v>
      </c>
      <c r="K29" s="55" t="n">
        <v>6400</v>
      </c>
      <c r="L29" s="55"/>
      <c r="M29" s="55"/>
      <c r="N29" s="55" t="n">
        <v>23.5</v>
      </c>
      <c r="O29" s="55"/>
      <c r="P29" s="56"/>
      <c r="Q29" s="57" t="n">
        <f aca="false">B29+D29+F29+H29+J29</f>
        <v>22</v>
      </c>
      <c r="R29" s="57" t="n">
        <f aca="false">C29+E29+G29+I29+K29</f>
        <v>152200</v>
      </c>
      <c r="S29" s="69" t="s">
        <v>83</v>
      </c>
      <c r="T29" s="70"/>
      <c r="U29" s="71"/>
      <c r="V29" s="71"/>
      <c r="W29" s="118" t="n">
        <v>48.5</v>
      </c>
      <c r="X29" s="118" t="n">
        <v>20100</v>
      </c>
      <c r="Y29" s="119"/>
      <c r="Z29" s="73" t="s">
        <v>91</v>
      </c>
      <c r="AA29" s="75" t="s">
        <v>92</v>
      </c>
      <c r="AB29" s="49" t="n">
        <v>32.5</v>
      </c>
      <c r="AC29" s="116" t="n">
        <v>25750</v>
      </c>
      <c r="AD29" s="65"/>
      <c r="AE29" s="117" t="n">
        <f aca="false">AB29-W29</f>
        <v>-16</v>
      </c>
      <c r="AF29" s="117" t="n">
        <f aca="false">AC29-X29</f>
        <v>5650</v>
      </c>
    </row>
    <row r="30" s="51" customFormat="true" ht="60" hidden="false" customHeight="true" outlineLevel="0" collapsed="false">
      <c r="A30" s="53" t="n">
        <v>46105</v>
      </c>
      <c r="B30" s="76" t="n">
        <v>9</v>
      </c>
      <c r="C30" s="67" t="n">
        <v>46250</v>
      </c>
      <c r="D30" s="67" t="n">
        <v>3</v>
      </c>
      <c r="E30" s="55" t="n">
        <v>13400</v>
      </c>
      <c r="F30" s="67"/>
      <c r="G30" s="67"/>
      <c r="H30" s="67" t="n">
        <v>18.5</v>
      </c>
      <c r="I30" s="55" t="n">
        <v>151050</v>
      </c>
      <c r="J30" s="55" t="n">
        <v>1.5</v>
      </c>
      <c r="K30" s="55" t="n">
        <v>4050</v>
      </c>
      <c r="L30" s="55"/>
      <c r="M30" s="55"/>
      <c r="N30" s="55" t="n">
        <v>57.5</v>
      </c>
      <c r="O30" s="55"/>
      <c r="P30" s="56"/>
      <c r="Q30" s="57" t="n">
        <f aca="false">B30+D30+F30+H30+J30</f>
        <v>32</v>
      </c>
      <c r="R30" s="57" t="n">
        <f aca="false">C30+E30+G30+I30+K30</f>
        <v>214750</v>
      </c>
      <c r="S30" s="69" t="s">
        <v>83</v>
      </c>
      <c r="T30" s="70"/>
      <c r="U30" s="71"/>
      <c r="V30" s="71"/>
      <c r="W30" s="118" t="n">
        <v>74</v>
      </c>
      <c r="X30" s="118" t="n">
        <v>38600</v>
      </c>
      <c r="Y30" s="119"/>
      <c r="Z30" s="73" t="s">
        <v>91</v>
      </c>
      <c r="AA30" s="75" t="s">
        <v>92</v>
      </c>
      <c r="AB30" s="49" t="n">
        <v>71.5</v>
      </c>
      <c r="AC30" s="116" t="n">
        <v>36400</v>
      </c>
      <c r="AD30" s="65"/>
      <c r="AE30" s="117" t="n">
        <f aca="false">AB30-W30</f>
        <v>-2.5</v>
      </c>
      <c r="AF30" s="117" t="n">
        <f aca="false">AC30-X30</f>
        <v>-2200</v>
      </c>
    </row>
    <row r="31" s="51" customFormat="true" ht="60" hidden="false" customHeight="true" outlineLevel="0" collapsed="false">
      <c r="A31" s="53" t="n">
        <v>46106</v>
      </c>
      <c r="B31" s="76" t="n">
        <v>20</v>
      </c>
      <c r="C31" s="67" t="n">
        <v>25500</v>
      </c>
      <c r="D31" s="67"/>
      <c r="E31" s="55"/>
      <c r="F31" s="67"/>
      <c r="G31" s="67"/>
      <c r="H31" s="67" t="n">
        <v>4.5</v>
      </c>
      <c r="I31" s="55" t="n">
        <v>110700</v>
      </c>
      <c r="J31" s="55"/>
      <c r="K31" s="55"/>
      <c r="L31" s="55"/>
      <c r="M31" s="55"/>
      <c r="N31" s="55" t="n">
        <v>35</v>
      </c>
      <c r="O31" s="55"/>
      <c r="P31" s="56"/>
      <c r="Q31" s="57" t="n">
        <f aca="false">B31+D31+F31+H31+J31</f>
        <v>24.5</v>
      </c>
      <c r="R31" s="57" t="n">
        <f aca="false">C31+E31+G31+I31+K31</f>
        <v>136200</v>
      </c>
      <c r="S31" s="69" t="s">
        <v>83</v>
      </c>
      <c r="T31" s="70"/>
      <c r="U31" s="71" t="n">
        <v>17850</v>
      </c>
      <c r="V31" s="71" t="n">
        <v>44</v>
      </c>
      <c r="W31" s="118" t="n">
        <v>25</v>
      </c>
      <c r="X31" s="118" t="n">
        <v>6750</v>
      </c>
      <c r="Y31" s="119"/>
      <c r="Z31" s="73" t="s">
        <v>93</v>
      </c>
      <c r="AA31" s="75" t="s">
        <v>92</v>
      </c>
      <c r="AB31" s="49" t="n">
        <v>15</v>
      </c>
      <c r="AC31" s="116" t="n">
        <v>5050</v>
      </c>
      <c r="AD31" s="65"/>
      <c r="AE31" s="117" t="n">
        <f aca="false">AB31-W31</f>
        <v>-10</v>
      </c>
      <c r="AF31" s="117" t="n">
        <f aca="false">AC31-X31</f>
        <v>-1700</v>
      </c>
    </row>
    <row r="32" s="51" customFormat="true" ht="60" hidden="false" customHeight="true" outlineLevel="0" collapsed="false">
      <c r="A32" s="53" t="n">
        <v>46107</v>
      </c>
      <c r="B32" s="76" t="n">
        <v>8</v>
      </c>
      <c r="C32" s="67" t="n">
        <v>54050</v>
      </c>
      <c r="D32" s="67" t="n">
        <v>6</v>
      </c>
      <c r="E32" s="55" t="n">
        <v>15700</v>
      </c>
      <c r="F32" s="67"/>
      <c r="G32" s="67"/>
      <c r="H32" s="67" t="n">
        <v>21.5</v>
      </c>
      <c r="I32" s="55" t="n">
        <v>121500</v>
      </c>
      <c r="J32" s="55"/>
      <c r="K32" s="55"/>
      <c r="L32" s="55"/>
      <c r="M32" s="55"/>
      <c r="N32" s="55" t="n">
        <v>41.5</v>
      </c>
      <c r="O32" s="55"/>
      <c r="P32" s="56"/>
      <c r="Q32" s="57" t="n">
        <f aca="false">B32+D32+F32+H32+J32</f>
        <v>35.5</v>
      </c>
      <c r="R32" s="57" t="n">
        <f aca="false">C32+E32+G32+I32+K32</f>
        <v>191250</v>
      </c>
      <c r="S32" s="69" t="s">
        <v>83</v>
      </c>
      <c r="T32" s="70"/>
      <c r="U32" s="71" t="n">
        <v>70250</v>
      </c>
      <c r="V32" s="71" t="n">
        <v>87.5</v>
      </c>
      <c r="W32" s="118"/>
      <c r="X32" s="118"/>
      <c r="Y32" s="119"/>
      <c r="Z32" s="73"/>
      <c r="AA32" s="75"/>
      <c r="AB32" s="49"/>
      <c r="AC32" s="49"/>
      <c r="AD32" s="65"/>
      <c r="AE32" s="117" t="n">
        <f aca="false">AB32-W32</f>
        <v>0</v>
      </c>
      <c r="AF32" s="117" t="n">
        <f aca="false">AC32-X32</f>
        <v>0</v>
      </c>
    </row>
    <row r="33" s="51" customFormat="true" ht="60" hidden="false" customHeight="true" outlineLevel="0" collapsed="false">
      <c r="A33" s="53" t="n">
        <v>46108</v>
      </c>
      <c r="B33" s="76" t="n">
        <v>5.5</v>
      </c>
      <c r="C33" s="67" t="n">
        <v>51500</v>
      </c>
      <c r="D33" s="67" t="n">
        <v>1</v>
      </c>
      <c r="E33" s="55" t="n">
        <v>7600</v>
      </c>
      <c r="F33" s="67"/>
      <c r="G33" s="67"/>
      <c r="H33" s="67" t="n">
        <v>12</v>
      </c>
      <c r="I33" s="55" t="n">
        <v>125300</v>
      </c>
      <c r="J33" s="55"/>
      <c r="K33" s="55"/>
      <c r="L33" s="55"/>
      <c r="M33" s="55"/>
      <c r="N33" s="55" t="n">
        <v>44</v>
      </c>
      <c r="O33" s="55"/>
      <c r="P33" s="56"/>
      <c r="Q33" s="57" t="n">
        <f aca="false">B33+D33+F33+H33+J33</f>
        <v>18.5</v>
      </c>
      <c r="R33" s="57" t="n">
        <f aca="false">C33+E33+G33+I33+K33</f>
        <v>184400</v>
      </c>
      <c r="S33" s="69" t="s">
        <v>83</v>
      </c>
      <c r="T33" s="70"/>
      <c r="U33" s="71"/>
      <c r="V33" s="71"/>
      <c r="W33" s="118" t="n">
        <v>81</v>
      </c>
      <c r="X33" s="118" t="n">
        <v>39750</v>
      </c>
      <c r="Y33" s="119"/>
      <c r="Z33" s="73"/>
      <c r="AA33" s="75"/>
      <c r="AB33" s="49" t="n">
        <v>69.5</v>
      </c>
      <c r="AC33" s="116" t="n">
        <v>48000</v>
      </c>
      <c r="AD33" s="65"/>
      <c r="AE33" s="117" t="n">
        <f aca="false">AB33-W33</f>
        <v>-11.5</v>
      </c>
      <c r="AF33" s="117" t="n">
        <f aca="false">AC33-X33</f>
        <v>8250</v>
      </c>
    </row>
    <row r="34" s="51" customFormat="true" ht="60" hidden="false" customHeight="true" outlineLevel="0" collapsed="false">
      <c r="A34" s="53" t="n">
        <v>46109</v>
      </c>
      <c r="B34" s="76" t="n">
        <v>5</v>
      </c>
      <c r="C34" s="67" t="n">
        <v>24350</v>
      </c>
      <c r="D34" s="67" t="n">
        <v>2.5</v>
      </c>
      <c r="E34" s="55" t="n">
        <v>30750</v>
      </c>
      <c r="F34" s="67"/>
      <c r="G34" s="67"/>
      <c r="H34" s="67" t="n">
        <v>12</v>
      </c>
      <c r="I34" s="55" t="n">
        <v>97100</v>
      </c>
      <c r="J34" s="55"/>
      <c r="K34" s="55"/>
      <c r="L34" s="55"/>
      <c r="M34" s="55"/>
      <c r="N34" s="55" t="n">
        <v>37</v>
      </c>
      <c r="O34" s="55"/>
      <c r="P34" s="56"/>
      <c r="Q34" s="57" t="n">
        <f aca="false">B34+D34+F34+H34+J34</f>
        <v>19.5</v>
      </c>
      <c r="R34" s="57" t="n">
        <f aca="false">C34+E34+G34+I34+K34</f>
        <v>152200</v>
      </c>
      <c r="S34" s="69" t="s">
        <v>84</v>
      </c>
      <c r="T34" s="70"/>
      <c r="U34" s="71"/>
      <c r="V34" s="71"/>
      <c r="W34" s="118" t="n">
        <v>63</v>
      </c>
      <c r="X34" s="118" t="n">
        <v>32650</v>
      </c>
      <c r="Y34" s="119"/>
      <c r="Z34" s="73"/>
      <c r="AA34" s="75"/>
      <c r="AB34" s="49" t="n">
        <v>57</v>
      </c>
      <c r="AC34" s="116" t="n">
        <v>43450</v>
      </c>
      <c r="AD34" s="65"/>
      <c r="AE34" s="117" t="n">
        <f aca="false">AB34-W34</f>
        <v>-6</v>
      </c>
      <c r="AF34" s="117" t="n">
        <f aca="false">AC34-X34</f>
        <v>10800</v>
      </c>
    </row>
    <row r="35" s="51" customFormat="true" ht="60" hidden="false" customHeight="true" outlineLevel="0" collapsed="false">
      <c r="A35" s="53" t="n">
        <v>46110</v>
      </c>
      <c r="B35" s="76" t="n">
        <v>4.5</v>
      </c>
      <c r="C35" s="67" t="n">
        <v>64450</v>
      </c>
      <c r="D35" s="67" t="n">
        <v>3.5</v>
      </c>
      <c r="E35" s="55" t="n">
        <v>27300</v>
      </c>
      <c r="F35" s="67"/>
      <c r="G35" s="67"/>
      <c r="H35" s="67" t="n">
        <v>21</v>
      </c>
      <c r="I35" s="55" t="n">
        <v>119400</v>
      </c>
      <c r="J35" s="55"/>
      <c r="K35" s="55"/>
      <c r="L35" s="55"/>
      <c r="M35" s="55"/>
      <c r="N35" s="55" t="n">
        <v>43</v>
      </c>
      <c r="O35" s="55"/>
      <c r="P35" s="56"/>
      <c r="Q35" s="57" t="n">
        <f aca="false">B35+D35+F35+H35+J35</f>
        <v>29</v>
      </c>
      <c r="R35" s="57" t="n">
        <f aca="false">C35+E35+G35+I35+K35</f>
        <v>211150</v>
      </c>
      <c r="S35" s="69" t="s">
        <v>84</v>
      </c>
      <c r="T35" s="70"/>
      <c r="U35" s="71"/>
      <c r="V35" s="71"/>
      <c r="W35" s="118" t="n">
        <v>124</v>
      </c>
      <c r="X35" s="118" t="n">
        <v>56850</v>
      </c>
      <c r="Y35" s="119"/>
      <c r="Z35" s="73"/>
      <c r="AA35" s="75"/>
      <c r="AB35" s="49" t="n">
        <v>161</v>
      </c>
      <c r="AC35" s="116" t="n">
        <v>63750</v>
      </c>
      <c r="AD35" s="65"/>
      <c r="AE35" s="117" t="n">
        <f aca="false">AB35-W35</f>
        <v>37</v>
      </c>
      <c r="AF35" s="117" t="n">
        <f aca="false">AC35-X35</f>
        <v>6900</v>
      </c>
    </row>
    <row r="36" s="51" customFormat="true" ht="60" hidden="false" customHeight="true" outlineLevel="0" collapsed="false">
      <c r="A36" s="53" t="n">
        <v>46111</v>
      </c>
      <c r="B36" s="76" t="n">
        <v>11</v>
      </c>
      <c r="C36" s="67" t="n">
        <v>63050</v>
      </c>
      <c r="D36" s="67"/>
      <c r="E36" s="55"/>
      <c r="F36" s="67"/>
      <c r="G36" s="67"/>
      <c r="H36" s="67" t="n">
        <v>2.5</v>
      </c>
      <c r="I36" s="55" t="n">
        <v>15500</v>
      </c>
      <c r="J36" s="55"/>
      <c r="K36" s="55"/>
      <c r="L36" s="55"/>
      <c r="M36" s="55"/>
      <c r="N36" s="55" t="n">
        <v>14.5</v>
      </c>
      <c r="O36" s="55"/>
      <c r="P36" s="56"/>
      <c r="Q36" s="57" t="n">
        <f aca="false">B36+D36+F36+H36+J36</f>
        <v>13.5</v>
      </c>
      <c r="R36" s="57" t="n">
        <f aca="false">C36+E36+G36+I36+K36</f>
        <v>78550</v>
      </c>
      <c r="S36" s="69" t="s">
        <v>83</v>
      </c>
      <c r="T36" s="70"/>
      <c r="U36" s="71"/>
      <c r="V36" s="71"/>
      <c r="W36" s="118" t="n">
        <v>120</v>
      </c>
      <c r="X36" s="118" t="n">
        <v>79100</v>
      </c>
      <c r="Y36" s="119"/>
      <c r="Z36" s="73"/>
      <c r="AA36" s="75"/>
      <c r="AB36" s="49" t="n">
        <v>104.5</v>
      </c>
      <c r="AC36" s="116" t="n">
        <v>67650</v>
      </c>
      <c r="AD36" s="65"/>
      <c r="AE36" s="117" t="n">
        <f aca="false">AB36-W36</f>
        <v>-15.5</v>
      </c>
      <c r="AF36" s="117" t="n">
        <f aca="false">AC36-X36</f>
        <v>-11450</v>
      </c>
    </row>
    <row r="37" s="51" customFormat="true" ht="60" hidden="false" customHeight="true" outlineLevel="0" collapsed="false">
      <c r="A37" s="53" t="n">
        <v>46112</v>
      </c>
      <c r="B37" s="76" t="n">
        <v>14</v>
      </c>
      <c r="C37" s="77" t="n">
        <v>97800</v>
      </c>
      <c r="D37" s="67" t="n">
        <v>2</v>
      </c>
      <c r="E37" s="55" t="n">
        <v>7600</v>
      </c>
      <c r="F37" s="67"/>
      <c r="G37" s="67"/>
      <c r="H37" s="67" t="n">
        <v>19</v>
      </c>
      <c r="I37" s="55" t="n">
        <v>95900</v>
      </c>
      <c r="J37" s="55"/>
      <c r="K37" s="55"/>
      <c r="L37" s="55"/>
      <c r="M37" s="55"/>
      <c r="N37" s="55" t="n">
        <v>33.5</v>
      </c>
      <c r="O37" s="55"/>
      <c r="P37" s="56"/>
      <c r="Q37" s="57" t="n">
        <f aca="false">B37+D37+F37+H37+J37</f>
        <v>35</v>
      </c>
      <c r="R37" s="57" t="n">
        <f aca="false">C37+E37+G37+I37+K37</f>
        <v>201300</v>
      </c>
      <c r="S37" s="69" t="s">
        <v>83</v>
      </c>
      <c r="T37" s="70"/>
      <c r="U37" s="71" t="n">
        <v>54200</v>
      </c>
      <c r="V37" s="71" t="n">
        <v>49.5</v>
      </c>
      <c r="W37" s="118" t="n">
        <v>56.5</v>
      </c>
      <c r="X37" s="118" t="n">
        <v>40250</v>
      </c>
      <c r="Y37" s="119"/>
      <c r="Z37" s="73"/>
      <c r="AA37" s="75"/>
      <c r="AB37" s="49" t="n">
        <v>74</v>
      </c>
      <c r="AC37" s="116" t="n">
        <v>48100</v>
      </c>
      <c r="AD37" s="65"/>
      <c r="AE37" s="117" t="n">
        <f aca="false">AB37-W37</f>
        <v>17.5</v>
      </c>
      <c r="AF37" s="117" t="n">
        <f aca="false">AC37-X37</f>
        <v>7850</v>
      </c>
    </row>
    <row r="38" s="84" customFormat="true" ht="96.75" hidden="false" customHeight="true" outlineLevel="0" collapsed="false">
      <c r="A38" s="78"/>
      <c r="B38" s="79" t="n">
        <f aca="false">SUM(B7:B37)</f>
        <v>244</v>
      </c>
      <c r="C38" s="79" t="n">
        <f aca="false">SUM(C7:C37)</f>
        <v>1433100</v>
      </c>
      <c r="D38" s="79" t="n">
        <f aca="false">SUM(D7:D37)</f>
        <v>81</v>
      </c>
      <c r="E38" s="79" t="n">
        <f aca="false">SUM(E7:E37)</f>
        <v>437900</v>
      </c>
      <c r="F38" s="79" t="n">
        <f aca="false">SUM(F7:F37)</f>
        <v>0</v>
      </c>
      <c r="G38" s="79" t="n">
        <f aca="false">SUM(G7:G37)</f>
        <v>0</v>
      </c>
      <c r="H38" s="79" t="n">
        <f aca="false">SUM(H7:H37)</f>
        <v>434.5</v>
      </c>
      <c r="I38" s="79" t="n">
        <f aca="false">SUM(I7:I37)</f>
        <v>3006300</v>
      </c>
      <c r="J38" s="79" t="n">
        <f aca="false">SUM(J7:J37)</f>
        <v>25.5</v>
      </c>
      <c r="K38" s="79" t="n">
        <f aca="false">SUM(K7:K37)</f>
        <v>143250</v>
      </c>
      <c r="L38" s="79" t="n">
        <f aca="false">SUM(L7:L37)</f>
        <v>0</v>
      </c>
      <c r="M38" s="79" t="n">
        <f aca="false">SUM(M7:M37)</f>
        <v>0</v>
      </c>
      <c r="N38" s="79" t="n">
        <f aca="false">SUM(N7:N37)</f>
        <v>1060</v>
      </c>
      <c r="O38" s="79" t="n">
        <f aca="false">SUM(O7:O37)</f>
        <v>0</v>
      </c>
      <c r="P38" s="79" t="n">
        <f aca="false">SUM(P7:P37)</f>
        <v>0</v>
      </c>
      <c r="Q38" s="79" t="n">
        <f aca="false">SUM(Q7:Q37)</f>
        <v>785</v>
      </c>
      <c r="R38" s="79" t="n">
        <f aca="false">SUM(R7:R37)</f>
        <v>5020550</v>
      </c>
      <c r="S38" s="79" t="n">
        <f aca="false">SUM(S7:S37)</f>
        <v>0</v>
      </c>
      <c r="T38" s="79" t="n">
        <f aca="false">SUM(T7:T37)</f>
        <v>0</v>
      </c>
      <c r="U38" s="79" t="n">
        <f aca="false">SUM(U7:U37)</f>
        <v>276856.5</v>
      </c>
      <c r="V38" s="79" t="n">
        <f aca="false">SUM(V7:V37)</f>
        <v>39519</v>
      </c>
      <c r="W38" s="79" t="n">
        <f aca="false">SUM(W7:W37)</f>
        <v>1914</v>
      </c>
      <c r="X38" s="79" t="n">
        <f aca="false">SUM(X7:X37)</f>
        <v>1200550</v>
      </c>
      <c r="Y38" s="79" t="n">
        <f aca="false">SUM(Y7:Y37)</f>
        <v>0</v>
      </c>
      <c r="Z38" s="79" t="s">
        <v>39</v>
      </c>
      <c r="AA38" s="80"/>
      <c r="AB38" s="81"/>
      <c r="AC38" s="82"/>
      <c r="AD38" s="83"/>
    </row>
    <row r="39" s="96" customFormat="true" ht="109.5" hidden="false" customHeight="true" outlineLevel="0" collapsed="false">
      <c r="A39" s="85"/>
      <c r="B39" s="86"/>
      <c r="C39" s="86"/>
      <c r="D39" s="86"/>
      <c r="E39" s="86"/>
      <c r="F39" s="86"/>
      <c r="G39" s="86"/>
      <c r="H39" s="87" t="s">
        <v>40</v>
      </c>
      <c r="I39" s="86"/>
      <c r="J39" s="86"/>
      <c r="K39" s="86"/>
      <c r="L39" s="86"/>
      <c r="M39" s="86"/>
      <c r="N39" s="86"/>
      <c r="O39" s="86"/>
      <c r="P39" s="87" t="s">
        <v>40</v>
      </c>
      <c r="Q39" s="88" t="n">
        <f aca="false">SUM(Q7:Q38)</f>
        <v>1570</v>
      </c>
      <c r="R39" s="89" t="n">
        <f aca="false">SUM(R7:R38)</f>
        <v>10041100</v>
      </c>
      <c r="S39" s="90"/>
      <c r="T39" s="91"/>
      <c r="U39" s="120" t="n">
        <f aca="false">U38+V38</f>
        <v>316375.5</v>
      </c>
      <c r="V39" s="120"/>
      <c r="W39" s="120"/>
      <c r="X39" s="120"/>
      <c r="Y39" s="121"/>
      <c r="Z39" s="93" t="n">
        <f aca="false">C38-U38-V38</f>
        <v>1116724.5</v>
      </c>
      <c r="AA39" s="94"/>
      <c r="AB39" s="95"/>
      <c r="AC39" s="49"/>
      <c r="AD39" s="65"/>
    </row>
    <row r="40" s="51" customFormat="true" ht="31.5" hidden="false" customHeight="true" outlineLevel="0" collapsed="false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49"/>
      <c r="AC40" s="49"/>
      <c r="AD40" s="3"/>
    </row>
    <row r="41" s="51" customFormat="true" ht="60" hidden="false" customHeight="true" outlineLevel="0" collapsed="false">
      <c r="A41" s="97"/>
      <c r="B41" s="97"/>
      <c r="C41" s="98"/>
      <c r="D41" s="98" t="s">
        <v>41</v>
      </c>
      <c r="E41" s="98"/>
      <c r="F41" s="98"/>
      <c r="G41" s="98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9" t="n">
        <f aca="false">R38-R39</f>
        <v>-5020550</v>
      </c>
      <c r="S41" s="97"/>
      <c r="T41" s="97"/>
      <c r="U41" s="97"/>
      <c r="V41" s="97"/>
      <c r="W41" s="97"/>
      <c r="X41" s="97"/>
      <c r="Y41" s="97"/>
      <c r="Z41" s="97"/>
      <c r="AA41" s="97"/>
      <c r="AB41" s="49"/>
      <c r="AC41" s="49"/>
      <c r="AD41" s="3"/>
    </row>
    <row r="42" customFormat="false" ht="25.5" hidden="false" customHeight="false" outlineLevel="0" collapsed="false">
      <c r="AB42" s="2"/>
      <c r="AC42" s="2"/>
      <c r="AD42" s="3"/>
      <c r="AE42" s="4"/>
      <c r="AF42" s="4"/>
    </row>
    <row r="43" customFormat="false" ht="25.5" hidden="false" customHeight="false" outlineLevel="0" collapsed="false">
      <c r="AB43" s="2"/>
      <c r="AC43" s="2"/>
      <c r="AD43" s="3"/>
      <c r="AE43" s="4"/>
      <c r="AF43" s="4"/>
    </row>
    <row r="44" customFormat="false" ht="25.5" hidden="false" customHeight="false" outlineLevel="0" collapsed="false">
      <c r="AB44" s="2"/>
      <c r="AC44" s="2"/>
      <c r="AD44" s="3"/>
      <c r="AE44" s="4"/>
      <c r="AF44" s="4"/>
    </row>
    <row r="45" customFormat="false" ht="25.5" hidden="false" customHeight="false" outlineLevel="0" collapsed="false">
      <c r="AB45" s="2"/>
      <c r="AC45" s="2"/>
      <c r="AD45" s="3"/>
      <c r="AE45" s="4"/>
      <c r="AF45" s="4"/>
    </row>
    <row r="46" customFormat="false" ht="25.5" hidden="false" customHeight="false" outlineLevel="0" collapsed="false">
      <c r="AB46" s="2"/>
      <c r="AC46" s="2"/>
      <c r="AD46" s="3"/>
      <c r="AE46" s="4"/>
      <c r="AF46" s="4"/>
    </row>
    <row r="47" customFormat="false" ht="25.5" hidden="false" customHeight="false" outlineLevel="0" collapsed="false">
      <c r="AB47" s="2"/>
      <c r="AC47" s="2"/>
      <c r="AD47" s="3"/>
      <c r="AE47" s="4"/>
      <c r="AF47" s="4"/>
    </row>
    <row r="48" customFormat="false" ht="25.5" hidden="false" customHeight="false" outlineLevel="0" collapsed="false">
      <c r="AB48" s="2"/>
      <c r="AC48" s="2"/>
      <c r="AD48" s="3"/>
      <c r="AE48" s="4"/>
      <c r="AF48" s="4"/>
    </row>
    <row r="49" customFormat="false" ht="25.5" hidden="false" customHeight="false" outlineLevel="0" collapsed="false">
      <c r="AB49" s="2"/>
      <c r="AC49" s="2"/>
      <c r="AD49" s="3"/>
      <c r="AE49" s="4"/>
      <c r="AF49" s="4"/>
    </row>
    <row r="50" customFormat="false" ht="25.5" hidden="false" customHeight="false" outlineLevel="0" collapsed="false">
      <c r="AB50" s="2"/>
      <c r="AC50" s="2"/>
      <c r="AD50" s="3"/>
      <c r="AE50" s="4"/>
      <c r="AF50" s="4"/>
    </row>
    <row r="51" customFormat="false" ht="25.5" hidden="false" customHeight="false" outlineLevel="0" collapsed="false">
      <c r="AB51" s="2"/>
      <c r="AC51" s="2"/>
      <c r="AD51" s="3"/>
      <c r="AE51" s="4"/>
      <c r="AF51" s="4"/>
    </row>
    <row r="52" customFormat="false" ht="25.5" hidden="false" customHeight="false" outlineLevel="0" collapsed="false">
      <c r="AB52" s="2"/>
      <c r="AC52" s="2"/>
      <c r="AD52" s="3"/>
      <c r="AE52" s="4"/>
      <c r="AF52" s="4"/>
    </row>
    <row r="53" customFormat="false" ht="25.5" hidden="false" customHeight="false" outlineLevel="0" collapsed="false">
      <c r="AB53" s="2"/>
      <c r="AC53" s="2"/>
      <c r="AD53" s="3"/>
      <c r="AE53" s="4"/>
      <c r="AF53" s="4"/>
    </row>
    <row r="54" customFormat="false" ht="25.5" hidden="false" customHeight="false" outlineLevel="0" collapsed="false">
      <c r="AB54" s="2"/>
      <c r="AC54" s="2"/>
      <c r="AD54" s="3"/>
      <c r="AE54" s="4"/>
      <c r="AF54" s="4"/>
    </row>
    <row r="55" customFormat="false" ht="25.5" hidden="false" customHeight="false" outlineLevel="0" collapsed="false">
      <c r="AB55" s="2"/>
      <c r="AC55" s="2"/>
      <c r="AD55" s="3"/>
      <c r="AE55" s="4"/>
      <c r="AF55" s="4"/>
    </row>
    <row r="56" customFormat="false" ht="25.5" hidden="false" customHeight="false" outlineLevel="0" collapsed="false">
      <c r="AB56" s="2"/>
      <c r="AC56" s="2"/>
      <c r="AD56" s="3"/>
      <c r="AE56" s="4"/>
      <c r="AF56" s="4"/>
    </row>
    <row r="57" customFormat="false" ht="25.5" hidden="false" customHeight="false" outlineLevel="0" collapsed="false">
      <c r="AB57" s="2"/>
      <c r="AC57" s="2"/>
      <c r="AD57" s="3"/>
      <c r="AE57" s="4"/>
      <c r="AF57" s="4"/>
    </row>
    <row r="58" customFormat="false" ht="25.5" hidden="false" customHeight="false" outlineLevel="0" collapsed="false">
      <c r="AB58" s="2"/>
      <c r="AC58" s="2"/>
      <c r="AD58" s="3"/>
      <c r="AE58" s="4"/>
      <c r="AF58" s="4"/>
    </row>
    <row r="59" customFormat="false" ht="25.5" hidden="false" customHeight="false" outlineLevel="0" collapsed="false">
      <c r="AB59" s="2"/>
      <c r="AC59" s="2"/>
      <c r="AD59" s="3"/>
      <c r="AE59" s="4"/>
      <c r="AF59" s="4"/>
    </row>
    <row r="60" customFormat="false" ht="25.5" hidden="false" customHeight="false" outlineLevel="0" collapsed="false">
      <c r="AB60" s="2"/>
      <c r="AC60" s="2"/>
      <c r="AD60" s="3"/>
      <c r="AE60" s="4"/>
      <c r="AF60" s="4"/>
    </row>
    <row r="61" customFormat="false" ht="25.5" hidden="false" customHeight="false" outlineLevel="0" collapsed="false">
      <c r="AB61" s="2"/>
      <c r="AC61" s="2"/>
      <c r="AD61" s="3"/>
      <c r="AE61" s="4"/>
      <c r="AF61" s="4"/>
    </row>
    <row r="62" customFormat="false" ht="25.5" hidden="false" customHeight="false" outlineLevel="0" collapsed="false">
      <c r="AB62" s="2"/>
      <c r="AC62" s="2"/>
      <c r="AD62" s="3"/>
      <c r="AE62" s="4"/>
      <c r="AF62" s="4"/>
    </row>
    <row r="63" customFormat="false" ht="25.5" hidden="false" customHeight="false" outlineLevel="0" collapsed="false">
      <c r="AB63" s="2"/>
      <c r="AC63" s="2"/>
      <c r="AD63" s="3"/>
      <c r="AE63" s="4"/>
      <c r="AF63" s="4"/>
    </row>
    <row r="64" customFormat="false" ht="25.5" hidden="false" customHeight="false" outlineLevel="0" collapsed="false">
      <c r="AB64" s="2"/>
      <c r="AC64" s="2"/>
      <c r="AD64" s="3"/>
      <c r="AE64" s="4"/>
      <c r="AF64" s="4"/>
    </row>
    <row r="65" customFormat="false" ht="25.5" hidden="false" customHeight="false" outlineLevel="0" collapsed="false">
      <c r="AB65" s="2"/>
      <c r="AC65" s="2"/>
      <c r="AD65" s="3"/>
      <c r="AE65" s="4"/>
      <c r="AF65" s="4"/>
    </row>
    <row r="66" customFormat="false" ht="25.5" hidden="false" customHeight="false" outlineLevel="0" collapsed="false">
      <c r="AB66" s="2"/>
      <c r="AC66" s="2"/>
      <c r="AD66" s="3"/>
      <c r="AE66" s="4"/>
      <c r="AF66" s="4"/>
    </row>
    <row r="67" customFormat="false" ht="25.5" hidden="false" customHeight="false" outlineLevel="0" collapsed="false">
      <c r="AB67" s="2"/>
      <c r="AC67" s="2"/>
      <c r="AD67" s="3"/>
      <c r="AE67" s="4"/>
      <c r="AF67" s="4"/>
    </row>
    <row r="68" customFormat="false" ht="25.5" hidden="false" customHeight="false" outlineLevel="0" collapsed="false">
      <c r="AB68" s="2"/>
      <c r="AC68" s="2"/>
      <c r="AD68" s="3"/>
      <c r="AE68" s="4"/>
      <c r="AF68" s="4"/>
    </row>
    <row r="69" customFormat="false" ht="25.5" hidden="false" customHeight="false" outlineLevel="0" collapsed="false">
      <c r="AB69" s="2"/>
      <c r="AC69" s="2"/>
      <c r="AD69" s="3"/>
      <c r="AE69" s="4"/>
      <c r="AF69" s="4"/>
    </row>
    <row r="70" customFormat="false" ht="25.5" hidden="false" customHeight="false" outlineLevel="0" collapsed="false">
      <c r="AB70" s="2"/>
      <c r="AC70" s="2"/>
      <c r="AD70" s="3"/>
      <c r="AE70" s="4"/>
      <c r="AF70" s="4"/>
    </row>
    <row r="71" customFormat="false" ht="25.5" hidden="false" customHeight="false" outlineLevel="0" collapsed="false">
      <c r="AB71" s="2"/>
      <c r="AC71" s="2"/>
      <c r="AD71" s="3"/>
      <c r="AE71" s="4"/>
      <c r="AF71" s="4"/>
    </row>
    <row r="72" customFormat="false" ht="25.5" hidden="false" customHeight="false" outlineLevel="0" collapsed="false">
      <c r="AB72" s="2"/>
      <c r="AC72" s="2"/>
      <c r="AD72" s="3"/>
      <c r="AE72" s="4"/>
      <c r="AF72" s="4"/>
    </row>
    <row r="73" customFormat="false" ht="25.5" hidden="false" customHeight="false" outlineLevel="0" collapsed="false">
      <c r="AB73" s="2"/>
      <c r="AC73" s="2"/>
      <c r="AD73" s="3"/>
      <c r="AE73" s="4"/>
      <c r="AF73" s="4"/>
    </row>
    <row r="74" customFormat="false" ht="25.5" hidden="false" customHeight="false" outlineLevel="0" collapsed="false">
      <c r="AB74" s="2"/>
      <c r="AC74" s="2"/>
      <c r="AD74" s="3"/>
      <c r="AE74" s="4"/>
      <c r="AF74" s="4"/>
    </row>
    <row r="75" customFormat="false" ht="25.5" hidden="false" customHeight="false" outlineLevel="0" collapsed="false">
      <c r="AB75" s="2"/>
      <c r="AC75" s="2"/>
      <c r="AD75" s="3"/>
      <c r="AE75" s="4"/>
      <c r="AF75" s="4"/>
    </row>
    <row r="76" customFormat="false" ht="25.5" hidden="false" customHeight="false" outlineLevel="0" collapsed="false">
      <c r="AB76" s="2"/>
      <c r="AC76" s="2"/>
      <c r="AD76" s="3"/>
      <c r="AE76" s="4"/>
      <c r="AF76" s="4"/>
    </row>
    <row r="77" customFormat="false" ht="25.5" hidden="false" customHeight="false" outlineLevel="0" collapsed="false">
      <c r="AB77" s="2"/>
      <c r="AC77" s="2"/>
      <c r="AD77" s="3"/>
      <c r="AE77" s="4"/>
      <c r="AF77" s="4"/>
    </row>
    <row r="78" customFormat="false" ht="25.5" hidden="false" customHeight="false" outlineLevel="0" collapsed="false">
      <c r="AB78" s="2"/>
      <c r="AC78" s="2"/>
      <c r="AD78" s="3"/>
      <c r="AE78" s="4"/>
      <c r="AF78" s="4"/>
    </row>
    <row r="79" customFormat="false" ht="25.5" hidden="false" customHeight="false" outlineLevel="0" collapsed="false">
      <c r="AB79" s="2"/>
      <c r="AC79" s="2"/>
      <c r="AD79" s="3"/>
      <c r="AE79" s="4"/>
      <c r="AF79" s="4"/>
    </row>
    <row r="80" customFormat="false" ht="25.5" hidden="false" customHeight="false" outlineLevel="0" collapsed="false">
      <c r="AB80" s="2"/>
      <c r="AC80" s="2"/>
      <c r="AD80" s="3"/>
      <c r="AE80" s="4"/>
      <c r="AF80" s="4"/>
    </row>
    <row r="81" customFormat="false" ht="25.5" hidden="false" customHeight="false" outlineLevel="0" collapsed="false">
      <c r="AB81" s="2"/>
      <c r="AC81" s="2"/>
      <c r="AD81" s="3"/>
      <c r="AE81" s="4"/>
      <c r="AF81" s="4"/>
    </row>
    <row r="82" customFormat="false" ht="25.5" hidden="false" customHeight="false" outlineLevel="0" collapsed="false">
      <c r="AB82" s="2"/>
      <c r="AC82" s="2"/>
      <c r="AD82" s="3"/>
      <c r="AE82" s="4"/>
      <c r="AF82" s="4"/>
    </row>
    <row r="83" customFormat="false" ht="25.5" hidden="false" customHeight="false" outlineLevel="0" collapsed="false">
      <c r="AB83" s="2"/>
      <c r="AC83" s="2"/>
      <c r="AD83" s="3"/>
      <c r="AE83" s="4"/>
      <c r="AF83" s="4"/>
    </row>
    <row r="84" customFormat="false" ht="25.5" hidden="false" customHeight="false" outlineLevel="0" collapsed="false">
      <c r="AB84" s="2"/>
      <c r="AC84" s="2"/>
      <c r="AD84" s="3"/>
      <c r="AE84" s="4"/>
      <c r="AF84" s="4"/>
    </row>
    <row r="85" customFormat="false" ht="25.5" hidden="false" customHeight="false" outlineLevel="0" collapsed="false">
      <c r="AB85" s="2"/>
      <c r="AC85" s="2"/>
      <c r="AD85" s="3"/>
      <c r="AE85" s="4"/>
      <c r="AF85" s="4"/>
    </row>
    <row r="86" customFormat="false" ht="25.5" hidden="false" customHeight="false" outlineLevel="0" collapsed="false">
      <c r="AB86" s="2"/>
      <c r="AC86" s="2"/>
      <c r="AD86" s="3"/>
      <c r="AE86" s="4"/>
      <c r="AF86" s="4"/>
    </row>
    <row r="87" customFormat="false" ht="25.5" hidden="false" customHeight="false" outlineLevel="0" collapsed="false">
      <c r="AB87" s="2"/>
      <c r="AC87" s="2"/>
      <c r="AD87" s="3"/>
      <c r="AE87" s="4"/>
      <c r="AF87" s="4"/>
    </row>
    <row r="88" customFormat="false" ht="25.5" hidden="false" customHeight="false" outlineLevel="0" collapsed="false">
      <c r="AB88" s="2"/>
      <c r="AC88" s="2"/>
      <c r="AD88" s="3"/>
      <c r="AE88" s="4"/>
      <c r="AF88" s="4"/>
    </row>
    <row r="89" customFormat="false" ht="25.5" hidden="false" customHeight="false" outlineLevel="0" collapsed="false">
      <c r="AB89" s="2"/>
      <c r="AC89" s="2"/>
      <c r="AD89" s="3"/>
      <c r="AE89" s="4"/>
      <c r="AF89" s="4"/>
    </row>
    <row r="90" customFormat="false" ht="25.5" hidden="false" customHeight="false" outlineLevel="0" collapsed="false">
      <c r="AB90" s="2"/>
      <c r="AC90" s="2"/>
      <c r="AD90" s="3"/>
      <c r="AE90" s="4"/>
      <c r="AF90" s="4"/>
    </row>
    <row r="91" customFormat="false" ht="25.5" hidden="false" customHeight="false" outlineLevel="0" collapsed="false">
      <c r="AB91" s="2"/>
      <c r="AC91" s="2"/>
      <c r="AD91" s="3"/>
      <c r="AE91" s="4"/>
      <c r="AF91" s="4"/>
    </row>
    <row r="92" customFormat="false" ht="25.5" hidden="false" customHeight="false" outlineLevel="0" collapsed="false">
      <c r="AB92" s="2"/>
      <c r="AC92" s="2"/>
      <c r="AD92" s="3"/>
      <c r="AE92" s="4"/>
      <c r="AF92" s="4"/>
    </row>
    <row r="93" customFormat="false" ht="25.5" hidden="false" customHeight="false" outlineLevel="0" collapsed="false">
      <c r="AB93" s="2"/>
      <c r="AC93" s="2"/>
      <c r="AD93" s="3"/>
      <c r="AE93" s="4"/>
      <c r="AF93" s="4"/>
    </row>
    <row r="94" customFormat="false" ht="25.5" hidden="false" customHeight="false" outlineLevel="0" collapsed="false">
      <c r="AB94" s="2"/>
      <c r="AC94" s="2"/>
      <c r="AD94" s="3"/>
      <c r="AE94" s="4"/>
      <c r="AF94" s="4"/>
    </row>
    <row r="95" customFormat="false" ht="25.5" hidden="false" customHeight="false" outlineLevel="0" collapsed="false">
      <c r="AB95" s="2"/>
      <c r="AC95" s="2"/>
      <c r="AD95" s="3"/>
      <c r="AE95" s="4"/>
      <c r="AF95" s="4"/>
    </row>
    <row r="96" customFormat="false" ht="25.5" hidden="false" customHeight="false" outlineLevel="0" collapsed="false">
      <c r="AB96" s="2"/>
      <c r="AC96" s="2"/>
      <c r="AD96" s="3"/>
      <c r="AE96" s="4"/>
      <c r="AF96" s="4"/>
    </row>
    <row r="97" customFormat="false" ht="25.5" hidden="false" customHeight="false" outlineLevel="0" collapsed="false">
      <c r="AB97" s="2"/>
      <c r="AC97" s="2"/>
      <c r="AD97" s="3"/>
      <c r="AE97" s="4"/>
      <c r="AF97" s="4"/>
    </row>
    <row r="98" customFormat="false" ht="25.5" hidden="false" customHeight="false" outlineLevel="0" collapsed="false">
      <c r="AB98" s="2"/>
      <c r="AC98" s="2"/>
      <c r="AD98" s="3"/>
      <c r="AE98" s="4"/>
      <c r="AF98" s="4"/>
    </row>
    <row r="99" customFormat="false" ht="25.5" hidden="false" customHeight="false" outlineLevel="0" collapsed="false">
      <c r="AB99" s="2"/>
      <c r="AC99" s="2"/>
      <c r="AD99" s="3"/>
      <c r="AE99" s="4"/>
      <c r="AF99" s="4"/>
    </row>
    <row r="100" customFormat="false" ht="25.5" hidden="false" customHeight="false" outlineLevel="0" collapsed="false">
      <c r="AB100" s="2"/>
      <c r="AC100" s="2"/>
      <c r="AD100" s="3"/>
      <c r="AE100" s="4"/>
      <c r="AF100" s="4"/>
    </row>
    <row r="101" customFormat="false" ht="25.5" hidden="false" customHeight="false" outlineLevel="0" collapsed="false">
      <c r="AB101" s="2"/>
      <c r="AC101" s="2"/>
      <c r="AD101" s="3"/>
      <c r="AE101" s="4"/>
      <c r="AF101" s="4"/>
    </row>
    <row r="102" customFormat="false" ht="25.5" hidden="false" customHeight="false" outlineLevel="0" collapsed="false">
      <c r="AB102" s="2"/>
      <c r="AC102" s="2"/>
      <c r="AD102" s="3"/>
      <c r="AE102" s="4"/>
      <c r="AF102" s="4"/>
    </row>
    <row r="103" customFormat="false" ht="25.5" hidden="false" customHeight="false" outlineLevel="0" collapsed="false">
      <c r="AB103" s="2"/>
      <c r="AC103" s="2"/>
      <c r="AD103" s="3"/>
      <c r="AE103" s="4"/>
      <c r="AF103" s="4"/>
    </row>
    <row r="104" customFormat="false" ht="25.5" hidden="false" customHeight="false" outlineLevel="0" collapsed="false">
      <c r="AB104" s="2"/>
      <c r="AC104" s="2"/>
      <c r="AD104" s="3"/>
      <c r="AE104" s="4"/>
      <c r="AF104" s="4"/>
    </row>
    <row r="105" customFormat="false" ht="25.5" hidden="false" customHeight="false" outlineLevel="0" collapsed="false">
      <c r="AB105" s="2"/>
      <c r="AC105" s="2"/>
      <c r="AD105" s="3"/>
      <c r="AE105" s="4"/>
      <c r="AF105" s="4"/>
    </row>
    <row r="106" customFormat="false" ht="25.5" hidden="false" customHeight="false" outlineLevel="0" collapsed="false">
      <c r="AB106" s="2"/>
      <c r="AC106" s="2"/>
      <c r="AD106" s="3"/>
      <c r="AE106" s="4"/>
      <c r="AF106" s="4"/>
    </row>
    <row r="107" customFormat="false" ht="25.5" hidden="false" customHeight="false" outlineLevel="0" collapsed="false">
      <c r="AB107" s="2"/>
      <c r="AC107" s="2"/>
      <c r="AD107" s="3"/>
      <c r="AE107" s="4"/>
      <c r="AF107" s="4"/>
    </row>
    <row r="108" customFormat="false" ht="25.5" hidden="false" customHeight="false" outlineLevel="0" collapsed="false">
      <c r="AB108" s="2"/>
      <c r="AC108" s="2"/>
      <c r="AD108" s="3"/>
      <c r="AE108" s="4"/>
      <c r="AF108" s="4"/>
    </row>
    <row r="109" customFormat="false" ht="25.5" hidden="false" customHeight="false" outlineLevel="0" collapsed="false">
      <c r="AB109" s="2"/>
      <c r="AC109" s="2"/>
      <c r="AD109" s="3"/>
      <c r="AE109" s="4"/>
      <c r="AF109" s="4"/>
    </row>
    <row r="110" customFormat="false" ht="25.5" hidden="false" customHeight="false" outlineLevel="0" collapsed="false">
      <c r="AB110" s="2"/>
      <c r="AC110" s="2"/>
      <c r="AD110" s="3"/>
      <c r="AE110" s="4"/>
      <c r="AF110" s="4"/>
    </row>
    <row r="111" customFormat="false" ht="25.5" hidden="false" customHeight="false" outlineLevel="0" collapsed="false">
      <c r="AB111" s="2"/>
      <c r="AC111" s="2"/>
      <c r="AD111" s="3"/>
      <c r="AE111" s="4"/>
      <c r="AF111" s="4"/>
    </row>
    <row r="112" customFormat="false" ht="25.5" hidden="false" customHeight="false" outlineLevel="0" collapsed="false">
      <c r="AB112" s="2"/>
      <c r="AC112" s="2"/>
      <c r="AD112" s="3"/>
      <c r="AE112" s="4"/>
      <c r="AF112" s="4"/>
    </row>
    <row r="113" customFormat="false" ht="25.5" hidden="false" customHeight="false" outlineLevel="0" collapsed="false">
      <c r="AB113" s="2"/>
      <c r="AC113" s="2"/>
      <c r="AD113" s="3"/>
      <c r="AE113" s="4"/>
      <c r="AF113" s="4"/>
    </row>
    <row r="114" customFormat="false" ht="25.5" hidden="false" customHeight="false" outlineLevel="0" collapsed="false">
      <c r="AB114" s="2"/>
      <c r="AC114" s="2"/>
      <c r="AD114" s="3"/>
      <c r="AE114" s="4"/>
      <c r="AF114" s="4"/>
    </row>
    <row r="115" customFormat="false" ht="25.5" hidden="false" customHeight="false" outlineLevel="0" collapsed="false">
      <c r="AB115" s="2"/>
      <c r="AC115" s="2"/>
      <c r="AD115" s="3"/>
      <c r="AE115" s="4"/>
      <c r="AF115" s="4"/>
    </row>
    <row r="116" customFormat="false" ht="25.5" hidden="false" customHeight="false" outlineLevel="0" collapsed="false">
      <c r="AB116" s="2"/>
      <c r="AC116" s="2"/>
      <c r="AD116" s="3"/>
      <c r="AE116" s="4"/>
      <c r="AF116" s="4"/>
    </row>
    <row r="117" customFormat="false" ht="25.5" hidden="false" customHeight="false" outlineLevel="0" collapsed="false">
      <c r="AB117" s="2"/>
      <c r="AC117" s="2"/>
      <c r="AD117" s="3"/>
      <c r="AE117" s="4"/>
      <c r="AF117" s="4"/>
    </row>
    <row r="118" customFormat="false" ht="25.5" hidden="false" customHeight="false" outlineLevel="0" collapsed="false">
      <c r="AB118" s="2"/>
      <c r="AC118" s="2"/>
      <c r="AD118" s="3"/>
      <c r="AE118" s="4"/>
      <c r="AF118" s="4"/>
    </row>
    <row r="119" customFormat="false" ht="25.5" hidden="false" customHeight="false" outlineLevel="0" collapsed="false">
      <c r="AB119" s="2"/>
      <c r="AC119" s="2"/>
      <c r="AD119" s="3"/>
      <c r="AE119" s="4"/>
      <c r="AF119" s="4"/>
    </row>
    <row r="120" customFormat="false" ht="25.5" hidden="false" customHeight="false" outlineLevel="0" collapsed="false">
      <c r="AB120" s="2"/>
      <c r="AC120" s="2"/>
      <c r="AD120" s="3"/>
      <c r="AE120" s="4"/>
      <c r="AF120" s="4"/>
    </row>
    <row r="121" customFormat="false" ht="25.5" hidden="false" customHeight="false" outlineLevel="0" collapsed="false">
      <c r="AB121" s="2"/>
      <c r="AC121" s="2"/>
      <c r="AD121" s="3"/>
      <c r="AE121" s="4"/>
      <c r="AF121" s="4"/>
    </row>
    <row r="122" customFormat="false" ht="25.5" hidden="false" customHeight="false" outlineLevel="0" collapsed="false">
      <c r="AB122" s="2"/>
      <c r="AC122" s="2"/>
      <c r="AD122" s="3"/>
      <c r="AE122" s="4"/>
      <c r="AF122" s="4"/>
    </row>
    <row r="123" customFormat="false" ht="25.5" hidden="false" customHeight="false" outlineLevel="0" collapsed="false">
      <c r="AB123" s="2"/>
      <c r="AC123" s="2"/>
      <c r="AD123" s="3"/>
      <c r="AE123" s="4"/>
      <c r="AF123" s="4"/>
    </row>
    <row r="124" customFormat="false" ht="25.5" hidden="false" customHeight="false" outlineLevel="0" collapsed="false">
      <c r="AB124" s="2"/>
      <c r="AC124" s="2"/>
      <c r="AD124" s="3"/>
      <c r="AE124" s="4"/>
      <c r="AF124" s="4"/>
    </row>
    <row r="125" customFormat="false" ht="25.5" hidden="false" customHeight="false" outlineLevel="0" collapsed="false">
      <c r="AB125" s="2"/>
      <c r="AC125" s="2"/>
      <c r="AD125" s="3"/>
      <c r="AE125" s="4"/>
      <c r="AF125" s="4"/>
    </row>
    <row r="126" customFormat="false" ht="25.5" hidden="false" customHeight="false" outlineLevel="0" collapsed="false">
      <c r="AB126" s="2"/>
      <c r="AC126" s="2"/>
      <c r="AD126" s="3"/>
      <c r="AE126" s="4"/>
      <c r="AF126" s="4"/>
    </row>
    <row r="127" customFormat="false" ht="25.5" hidden="false" customHeight="false" outlineLevel="0" collapsed="false">
      <c r="AB127" s="2"/>
      <c r="AC127" s="2"/>
      <c r="AD127" s="3"/>
      <c r="AE127" s="4"/>
      <c r="AF127" s="4"/>
    </row>
    <row r="128" customFormat="false" ht="25.5" hidden="false" customHeight="false" outlineLevel="0" collapsed="false">
      <c r="AB128" s="2"/>
      <c r="AC128" s="2"/>
      <c r="AD128" s="3"/>
      <c r="AE128" s="4"/>
      <c r="AF128" s="4"/>
    </row>
    <row r="129" customFormat="false" ht="25.5" hidden="false" customHeight="false" outlineLevel="0" collapsed="false">
      <c r="AB129" s="2"/>
      <c r="AC129" s="2"/>
      <c r="AD129" s="3"/>
      <c r="AE129" s="4"/>
      <c r="AF129" s="4"/>
    </row>
    <row r="130" customFormat="false" ht="25.5" hidden="false" customHeight="false" outlineLevel="0" collapsed="false">
      <c r="AB130" s="2"/>
      <c r="AC130" s="2"/>
      <c r="AD130" s="3"/>
      <c r="AE130" s="4"/>
      <c r="AF130" s="4"/>
    </row>
    <row r="131" customFormat="false" ht="25.5" hidden="false" customHeight="false" outlineLevel="0" collapsed="false">
      <c r="AB131" s="2"/>
      <c r="AC131" s="2"/>
      <c r="AD131" s="3"/>
      <c r="AE131" s="4"/>
      <c r="AF131" s="4"/>
    </row>
    <row r="132" customFormat="false" ht="25.5" hidden="false" customHeight="false" outlineLevel="0" collapsed="false">
      <c r="AB132" s="2"/>
      <c r="AC132" s="2"/>
      <c r="AD132" s="3"/>
      <c r="AE132" s="4"/>
      <c r="AF132" s="4"/>
    </row>
    <row r="133" customFormat="false" ht="25.5" hidden="false" customHeight="false" outlineLevel="0" collapsed="false">
      <c r="AB133" s="2"/>
      <c r="AC133" s="2"/>
      <c r="AD133" s="3"/>
      <c r="AE133" s="4"/>
      <c r="AF133" s="4"/>
    </row>
    <row r="134" customFormat="false" ht="25.5" hidden="false" customHeight="false" outlineLevel="0" collapsed="false">
      <c r="AB134" s="2"/>
      <c r="AC134" s="2"/>
      <c r="AD134" s="3"/>
      <c r="AE134" s="4"/>
      <c r="AF134" s="4"/>
    </row>
    <row r="135" customFormat="false" ht="25.5" hidden="false" customHeight="false" outlineLevel="0" collapsed="false">
      <c r="AB135" s="2"/>
      <c r="AC135" s="2"/>
      <c r="AD135" s="3"/>
      <c r="AE135" s="4"/>
      <c r="AF135" s="4"/>
    </row>
    <row r="136" customFormat="false" ht="25.5" hidden="false" customHeight="false" outlineLevel="0" collapsed="false">
      <c r="AB136" s="2"/>
      <c r="AC136" s="2"/>
      <c r="AD136" s="3"/>
      <c r="AE136" s="4"/>
      <c r="AF136" s="4"/>
    </row>
    <row r="137" customFormat="false" ht="25.5" hidden="false" customHeight="false" outlineLevel="0" collapsed="false">
      <c r="AB137" s="2"/>
      <c r="AC137" s="2"/>
      <c r="AD137" s="3"/>
      <c r="AE137" s="4"/>
      <c r="AF137" s="4"/>
    </row>
    <row r="138" customFormat="false" ht="25.5" hidden="false" customHeight="false" outlineLevel="0" collapsed="false">
      <c r="AB138" s="2"/>
      <c r="AC138" s="2"/>
      <c r="AD138" s="3"/>
      <c r="AE138" s="4"/>
      <c r="AF138" s="4"/>
    </row>
    <row r="139" customFormat="false" ht="25.5" hidden="false" customHeight="false" outlineLevel="0" collapsed="false">
      <c r="AB139" s="2"/>
      <c r="AC139" s="2"/>
      <c r="AD139" s="3"/>
      <c r="AE139" s="4"/>
      <c r="AF139" s="4"/>
    </row>
    <row r="140" customFormat="false" ht="25.5" hidden="false" customHeight="false" outlineLevel="0" collapsed="false">
      <c r="AB140" s="2"/>
      <c r="AC140" s="2"/>
      <c r="AD140" s="3"/>
      <c r="AE140" s="4"/>
      <c r="AF140" s="4"/>
    </row>
    <row r="141" customFormat="false" ht="25.5" hidden="false" customHeight="false" outlineLevel="0" collapsed="false">
      <c r="AB141" s="2"/>
      <c r="AC141" s="2"/>
      <c r="AD141" s="3"/>
      <c r="AE141" s="4"/>
      <c r="AF141" s="4"/>
    </row>
    <row r="142" customFormat="false" ht="25.5" hidden="false" customHeight="false" outlineLevel="0" collapsed="false">
      <c r="AB142" s="2"/>
      <c r="AC142" s="2"/>
      <c r="AD142" s="3"/>
      <c r="AE142" s="4"/>
      <c r="AF142" s="4"/>
    </row>
    <row r="143" customFormat="false" ht="25.5" hidden="false" customHeight="false" outlineLevel="0" collapsed="false">
      <c r="AB143" s="2"/>
      <c r="AC143" s="2"/>
      <c r="AD143" s="3"/>
      <c r="AE143" s="4"/>
      <c r="AF143" s="4"/>
    </row>
    <row r="144" customFormat="false" ht="25.5" hidden="false" customHeight="false" outlineLevel="0" collapsed="false">
      <c r="AB144" s="2"/>
      <c r="AC144" s="2"/>
      <c r="AD144" s="3"/>
      <c r="AE144" s="4"/>
      <c r="AF144" s="4"/>
    </row>
    <row r="145" customFormat="false" ht="25.5" hidden="false" customHeight="false" outlineLevel="0" collapsed="false">
      <c r="AB145" s="2"/>
      <c r="AC145" s="2"/>
      <c r="AD145" s="3"/>
      <c r="AE145" s="4"/>
      <c r="AF145" s="4"/>
    </row>
    <row r="146" customFormat="false" ht="25.5" hidden="false" customHeight="false" outlineLevel="0" collapsed="false">
      <c r="AB146" s="2"/>
      <c r="AC146" s="2"/>
      <c r="AD146" s="3"/>
      <c r="AE146" s="4"/>
      <c r="AF146" s="4"/>
    </row>
    <row r="147" customFormat="false" ht="25.5" hidden="false" customHeight="false" outlineLevel="0" collapsed="false">
      <c r="AB147" s="2"/>
      <c r="AC147" s="2"/>
      <c r="AD147" s="3"/>
      <c r="AE147" s="4"/>
      <c r="AF147" s="4"/>
    </row>
    <row r="148" customFormat="false" ht="25.5" hidden="false" customHeight="false" outlineLevel="0" collapsed="false">
      <c r="AB148" s="2"/>
      <c r="AC148" s="2"/>
      <c r="AD148" s="3"/>
      <c r="AE148" s="4"/>
      <c r="AF148" s="4"/>
    </row>
    <row r="149" customFormat="false" ht="25.5" hidden="false" customHeight="false" outlineLevel="0" collapsed="false">
      <c r="AB149" s="2"/>
      <c r="AC149" s="2"/>
      <c r="AD149" s="3"/>
      <c r="AE149" s="4"/>
      <c r="AF149" s="4"/>
    </row>
    <row r="150" customFormat="false" ht="25.5" hidden="false" customHeight="false" outlineLevel="0" collapsed="false">
      <c r="AB150" s="2"/>
      <c r="AC150" s="2"/>
      <c r="AD150" s="3"/>
      <c r="AE150" s="4"/>
      <c r="AF150" s="4"/>
    </row>
    <row r="151" customFormat="false" ht="25.5" hidden="false" customHeight="false" outlineLevel="0" collapsed="false">
      <c r="AB151" s="2"/>
      <c r="AC151" s="2"/>
      <c r="AD151" s="3"/>
      <c r="AE151" s="4"/>
      <c r="AF151" s="4"/>
    </row>
    <row r="152" customFormat="false" ht="25.5" hidden="false" customHeight="false" outlineLevel="0" collapsed="false">
      <c r="AB152" s="2"/>
      <c r="AC152" s="2"/>
      <c r="AD152" s="3"/>
      <c r="AE152" s="4"/>
      <c r="AF152" s="4"/>
    </row>
    <row r="153" customFormat="false" ht="25.5" hidden="false" customHeight="false" outlineLevel="0" collapsed="false">
      <c r="AB153" s="2"/>
      <c r="AC153" s="2"/>
      <c r="AD153" s="3"/>
      <c r="AE153" s="4"/>
      <c r="AF153" s="4"/>
    </row>
    <row r="154" customFormat="false" ht="25.5" hidden="false" customHeight="false" outlineLevel="0" collapsed="false">
      <c r="AB154" s="2"/>
      <c r="AC154" s="2"/>
      <c r="AD154" s="3"/>
      <c r="AE154" s="4"/>
      <c r="AF154" s="4"/>
    </row>
    <row r="155" customFormat="false" ht="25.5" hidden="false" customHeight="false" outlineLevel="0" collapsed="false">
      <c r="AB155" s="2"/>
      <c r="AC155" s="2"/>
      <c r="AD155" s="3"/>
      <c r="AE155" s="4"/>
      <c r="AF155" s="4"/>
    </row>
    <row r="156" customFormat="false" ht="25.5" hidden="false" customHeight="false" outlineLevel="0" collapsed="false">
      <c r="AB156" s="2"/>
      <c r="AC156" s="2"/>
      <c r="AD156" s="3"/>
      <c r="AE156" s="4"/>
      <c r="AF156" s="4"/>
    </row>
    <row r="157" customFormat="false" ht="25.5" hidden="false" customHeight="false" outlineLevel="0" collapsed="false">
      <c r="AB157" s="2"/>
      <c r="AC157" s="2"/>
      <c r="AD157" s="3"/>
      <c r="AE157" s="4"/>
      <c r="AF157" s="4"/>
    </row>
    <row r="158" customFormat="false" ht="25.5" hidden="false" customHeight="false" outlineLevel="0" collapsed="false">
      <c r="AB158" s="2"/>
      <c r="AC158" s="2"/>
      <c r="AD158" s="3"/>
      <c r="AE158" s="4"/>
      <c r="AF158" s="4"/>
    </row>
    <row r="159" customFormat="false" ht="25.5" hidden="false" customHeight="false" outlineLevel="0" collapsed="false">
      <c r="AB159" s="2"/>
      <c r="AC159" s="2"/>
      <c r="AD159" s="3"/>
      <c r="AE159" s="4"/>
      <c r="AF159" s="4"/>
    </row>
    <row r="160" customFormat="false" ht="25.5" hidden="false" customHeight="false" outlineLevel="0" collapsed="false">
      <c r="AB160" s="2"/>
      <c r="AC160" s="2"/>
      <c r="AD160" s="3"/>
      <c r="AE160" s="4"/>
      <c r="AF160" s="4"/>
    </row>
    <row r="161" customFormat="false" ht="25.5" hidden="false" customHeight="false" outlineLevel="0" collapsed="false">
      <c r="AB161" s="2"/>
      <c r="AC161" s="2"/>
      <c r="AD161" s="3"/>
      <c r="AE161" s="4"/>
      <c r="AF161" s="4"/>
    </row>
    <row r="162" customFormat="false" ht="25.5" hidden="false" customHeight="false" outlineLevel="0" collapsed="false">
      <c r="AB162" s="2"/>
      <c r="AC162" s="2"/>
      <c r="AD162" s="3"/>
      <c r="AE162" s="4"/>
      <c r="AF162" s="4"/>
    </row>
    <row r="163" customFormat="false" ht="25.5" hidden="false" customHeight="false" outlineLevel="0" collapsed="false">
      <c r="AB163" s="2"/>
      <c r="AC163" s="2"/>
      <c r="AD163" s="3"/>
      <c r="AE163" s="4"/>
      <c r="AF163" s="4"/>
    </row>
    <row r="164" customFormat="false" ht="25.5" hidden="false" customHeight="false" outlineLevel="0" collapsed="false">
      <c r="AB164" s="2"/>
      <c r="AC164" s="2"/>
      <c r="AD164" s="3"/>
      <c r="AE164" s="4"/>
      <c r="AF164" s="4"/>
    </row>
    <row r="165" customFormat="false" ht="25.5" hidden="false" customHeight="false" outlineLevel="0" collapsed="false">
      <c r="AB165" s="2"/>
      <c r="AC165" s="2"/>
      <c r="AD165" s="3"/>
      <c r="AE165" s="4"/>
      <c r="AF165" s="4"/>
    </row>
    <row r="166" customFormat="false" ht="25.5" hidden="false" customHeight="false" outlineLevel="0" collapsed="false">
      <c r="AB166" s="2"/>
      <c r="AC166" s="2"/>
      <c r="AD166" s="3"/>
      <c r="AE166" s="4"/>
      <c r="AF166" s="4"/>
    </row>
    <row r="167" customFormat="false" ht="25.5" hidden="false" customHeight="false" outlineLevel="0" collapsed="false">
      <c r="AB167" s="2"/>
      <c r="AC167" s="2"/>
      <c r="AD167" s="3"/>
      <c r="AE167" s="4"/>
      <c r="AF167" s="4"/>
    </row>
    <row r="168" customFormat="false" ht="25.5" hidden="false" customHeight="false" outlineLevel="0" collapsed="false">
      <c r="AB168" s="2"/>
      <c r="AC168" s="2"/>
      <c r="AD168" s="3"/>
      <c r="AE168" s="4"/>
      <c r="AF168" s="4"/>
    </row>
    <row r="169" customFormat="false" ht="25.5" hidden="false" customHeight="false" outlineLevel="0" collapsed="false">
      <c r="AB169" s="2"/>
      <c r="AC169" s="2"/>
      <c r="AD169" s="3"/>
      <c r="AE169" s="4"/>
      <c r="AF169" s="4"/>
    </row>
    <row r="170" customFormat="false" ht="25.5" hidden="false" customHeight="false" outlineLevel="0" collapsed="false">
      <c r="AB170" s="2"/>
      <c r="AC170" s="2"/>
      <c r="AD170" s="3"/>
      <c r="AE170" s="4"/>
      <c r="AF170" s="4"/>
    </row>
    <row r="171" customFormat="false" ht="25.5" hidden="false" customHeight="false" outlineLevel="0" collapsed="false">
      <c r="AB171" s="2"/>
      <c r="AC171" s="2"/>
      <c r="AD171" s="3"/>
      <c r="AE171" s="4"/>
      <c r="AF171" s="4"/>
    </row>
    <row r="172" customFormat="false" ht="25.5" hidden="false" customHeight="false" outlineLevel="0" collapsed="false">
      <c r="AB172" s="2"/>
      <c r="AC172" s="2"/>
      <c r="AD172" s="3"/>
      <c r="AE172" s="4"/>
      <c r="AF172" s="4"/>
    </row>
    <row r="173" customFormat="false" ht="25.5" hidden="false" customHeight="false" outlineLevel="0" collapsed="false">
      <c r="AB173" s="2"/>
      <c r="AC173" s="2"/>
      <c r="AD173" s="3"/>
      <c r="AE173" s="4"/>
      <c r="AF173" s="4"/>
    </row>
    <row r="174" customFormat="false" ht="25.5" hidden="false" customHeight="false" outlineLevel="0" collapsed="false">
      <c r="AB174" s="2"/>
      <c r="AC174" s="2"/>
      <c r="AD174" s="3"/>
      <c r="AE174" s="4"/>
      <c r="AF174" s="4"/>
    </row>
    <row r="175" customFormat="false" ht="25.5" hidden="false" customHeight="false" outlineLevel="0" collapsed="false">
      <c r="AB175" s="2"/>
      <c r="AC175" s="2"/>
      <c r="AD175" s="3"/>
      <c r="AE175" s="4"/>
      <c r="AF175" s="4"/>
    </row>
    <row r="176" customFormat="false" ht="25.5" hidden="false" customHeight="false" outlineLevel="0" collapsed="false">
      <c r="AB176" s="2"/>
      <c r="AC176" s="2"/>
      <c r="AD176" s="3"/>
      <c r="AE176" s="4"/>
      <c r="AF176" s="4"/>
    </row>
    <row r="177" customFormat="false" ht="25.5" hidden="false" customHeight="false" outlineLevel="0" collapsed="false">
      <c r="AB177" s="2"/>
      <c r="AC177" s="2"/>
      <c r="AD177" s="3"/>
      <c r="AE177" s="4"/>
      <c r="AF177" s="4"/>
    </row>
    <row r="178" customFormat="false" ht="25.5" hidden="false" customHeight="false" outlineLevel="0" collapsed="false">
      <c r="AB178" s="2"/>
      <c r="AC178" s="2"/>
      <c r="AD178" s="3"/>
      <c r="AE178" s="4"/>
      <c r="AF178" s="4"/>
    </row>
    <row r="179" customFormat="false" ht="25.5" hidden="false" customHeight="false" outlineLevel="0" collapsed="false">
      <c r="AB179" s="2"/>
      <c r="AC179" s="2"/>
      <c r="AD179" s="3"/>
      <c r="AE179" s="4"/>
      <c r="AF179" s="4"/>
    </row>
    <row r="180" customFormat="false" ht="25.5" hidden="false" customHeight="false" outlineLevel="0" collapsed="false">
      <c r="AB180" s="2"/>
      <c r="AC180" s="2"/>
      <c r="AD180" s="3"/>
      <c r="AE180" s="4"/>
      <c r="AF180" s="4"/>
    </row>
    <row r="181" customFormat="false" ht="25.5" hidden="false" customHeight="false" outlineLevel="0" collapsed="false">
      <c r="AB181" s="2"/>
      <c r="AC181" s="2"/>
      <c r="AD181" s="3"/>
      <c r="AE181" s="4"/>
      <c r="AF181" s="4"/>
    </row>
    <row r="182" customFormat="false" ht="25.5" hidden="false" customHeight="false" outlineLevel="0" collapsed="false">
      <c r="AB182" s="2"/>
      <c r="AC182" s="2"/>
      <c r="AD182" s="3"/>
      <c r="AE182" s="4"/>
      <c r="AF182" s="4"/>
    </row>
    <row r="183" customFormat="false" ht="25.5" hidden="false" customHeight="false" outlineLevel="0" collapsed="false">
      <c r="AB183" s="2"/>
      <c r="AC183" s="2"/>
      <c r="AD183" s="3"/>
      <c r="AE183" s="4"/>
      <c r="AF183" s="4"/>
    </row>
    <row r="184" customFormat="false" ht="25.5" hidden="false" customHeight="false" outlineLevel="0" collapsed="false">
      <c r="AB184" s="2"/>
      <c r="AC184" s="2"/>
      <c r="AD184" s="3"/>
      <c r="AE184" s="4"/>
      <c r="AF184" s="4"/>
    </row>
    <row r="185" customFormat="false" ht="25.5" hidden="false" customHeight="false" outlineLevel="0" collapsed="false">
      <c r="AB185" s="2"/>
      <c r="AC185" s="2"/>
      <c r="AD185" s="3"/>
      <c r="AE185" s="4"/>
      <c r="AF185" s="4"/>
    </row>
    <row r="186" customFormat="false" ht="25.5" hidden="false" customHeight="false" outlineLevel="0" collapsed="false">
      <c r="AB186" s="2"/>
      <c r="AC186" s="2"/>
      <c r="AD186" s="3"/>
      <c r="AE186" s="4"/>
      <c r="AF186" s="4"/>
    </row>
    <row r="187" customFormat="false" ht="25.5" hidden="false" customHeight="false" outlineLevel="0" collapsed="false">
      <c r="AB187" s="2"/>
      <c r="AC187" s="2"/>
      <c r="AD187" s="3"/>
      <c r="AE187" s="4"/>
      <c r="AF187" s="4"/>
    </row>
    <row r="188" customFormat="false" ht="25.5" hidden="false" customHeight="false" outlineLevel="0" collapsed="false">
      <c r="AB188" s="2"/>
      <c r="AC188" s="2"/>
      <c r="AD188" s="3"/>
      <c r="AE188" s="4"/>
      <c r="AF188" s="4"/>
    </row>
    <row r="189" customFormat="false" ht="25.5" hidden="false" customHeight="false" outlineLevel="0" collapsed="false">
      <c r="AB189" s="2"/>
      <c r="AC189" s="2"/>
      <c r="AD189" s="3"/>
      <c r="AE189" s="4"/>
      <c r="AF189" s="4"/>
    </row>
    <row r="190" customFormat="false" ht="25.5" hidden="false" customHeight="false" outlineLevel="0" collapsed="false">
      <c r="AB190" s="2"/>
      <c r="AC190" s="2"/>
      <c r="AD190" s="3"/>
      <c r="AE190" s="4"/>
      <c r="AF190" s="4"/>
    </row>
    <row r="191" customFormat="false" ht="25.5" hidden="false" customHeight="false" outlineLevel="0" collapsed="false">
      <c r="AB191" s="2"/>
      <c r="AC191" s="2"/>
      <c r="AD191" s="3"/>
      <c r="AE191" s="4"/>
      <c r="AF191" s="4"/>
    </row>
    <row r="192" customFormat="false" ht="25.5" hidden="false" customHeight="false" outlineLevel="0" collapsed="false">
      <c r="AB192" s="2"/>
      <c r="AC192" s="2"/>
      <c r="AD192" s="3"/>
      <c r="AE192" s="4"/>
      <c r="AF192" s="4"/>
    </row>
    <row r="193" customFormat="false" ht="25.5" hidden="false" customHeight="false" outlineLevel="0" collapsed="false">
      <c r="AB193" s="2"/>
      <c r="AC193" s="2"/>
      <c r="AD193" s="3"/>
      <c r="AE193" s="4"/>
      <c r="AF193" s="4"/>
    </row>
    <row r="194" customFormat="false" ht="25.5" hidden="false" customHeight="false" outlineLevel="0" collapsed="false">
      <c r="AB194" s="2"/>
      <c r="AC194" s="2"/>
      <c r="AD194" s="3"/>
      <c r="AE194" s="4"/>
      <c r="AF194" s="4"/>
    </row>
    <row r="195" customFormat="false" ht="25.5" hidden="false" customHeight="false" outlineLevel="0" collapsed="false">
      <c r="AB195" s="2"/>
      <c r="AC195" s="2"/>
      <c r="AD195" s="3"/>
      <c r="AE195" s="4"/>
      <c r="AF195" s="4"/>
    </row>
    <row r="196" customFormat="false" ht="25.5" hidden="false" customHeight="false" outlineLevel="0" collapsed="false">
      <c r="AB196" s="2"/>
      <c r="AC196" s="2"/>
      <c r="AD196" s="3"/>
      <c r="AE196" s="4"/>
      <c r="AF196" s="4"/>
    </row>
    <row r="197" customFormat="false" ht="25.5" hidden="false" customHeight="false" outlineLevel="0" collapsed="false">
      <c r="AB197" s="2"/>
      <c r="AC197" s="2"/>
      <c r="AD197" s="3"/>
      <c r="AE197" s="4"/>
      <c r="AF197" s="4"/>
    </row>
    <row r="198" customFormat="false" ht="25.5" hidden="false" customHeight="false" outlineLevel="0" collapsed="false">
      <c r="AB198" s="2"/>
      <c r="AC198" s="2"/>
      <c r="AD198" s="3"/>
      <c r="AE198" s="4"/>
      <c r="AF198" s="4"/>
    </row>
    <row r="199" customFormat="false" ht="25.5" hidden="false" customHeight="false" outlineLevel="0" collapsed="false">
      <c r="AB199" s="2"/>
      <c r="AC199" s="2"/>
      <c r="AD199" s="3"/>
      <c r="AE199" s="4"/>
      <c r="AF199" s="4"/>
    </row>
    <row r="200" customFormat="false" ht="25.5" hidden="false" customHeight="false" outlineLevel="0" collapsed="false">
      <c r="AB200" s="2"/>
      <c r="AC200" s="2"/>
      <c r="AD200" s="3"/>
      <c r="AE200" s="4"/>
      <c r="AF200" s="4"/>
    </row>
    <row r="201" customFormat="false" ht="25.5" hidden="false" customHeight="false" outlineLevel="0" collapsed="false">
      <c r="AB201" s="2"/>
      <c r="AC201" s="2"/>
      <c r="AD201" s="3"/>
      <c r="AE201" s="4"/>
      <c r="AF201" s="4"/>
    </row>
    <row r="202" customFormat="false" ht="25.5" hidden="false" customHeight="false" outlineLevel="0" collapsed="false">
      <c r="AB202" s="2"/>
      <c r="AC202" s="2"/>
      <c r="AD202" s="3"/>
      <c r="AE202" s="4"/>
      <c r="AF202" s="4"/>
    </row>
    <row r="203" customFormat="false" ht="25.5" hidden="false" customHeight="false" outlineLevel="0" collapsed="false">
      <c r="AB203" s="2"/>
      <c r="AC203" s="2"/>
      <c r="AD203" s="3"/>
      <c r="AE203" s="4"/>
      <c r="AF203" s="4"/>
    </row>
    <row r="204" customFormat="false" ht="25.5" hidden="false" customHeight="false" outlineLevel="0" collapsed="false">
      <c r="AB204" s="2"/>
      <c r="AC204" s="2"/>
      <c r="AD204" s="3"/>
      <c r="AE204" s="4"/>
      <c r="AF204" s="4"/>
    </row>
    <row r="205" customFormat="false" ht="25.5" hidden="false" customHeight="false" outlineLevel="0" collapsed="false">
      <c r="AB205" s="2"/>
      <c r="AC205" s="2"/>
      <c r="AD205" s="3"/>
      <c r="AE205" s="4"/>
      <c r="AF205" s="4"/>
    </row>
    <row r="206" customFormat="false" ht="25.5" hidden="false" customHeight="false" outlineLevel="0" collapsed="false">
      <c r="AB206" s="2"/>
      <c r="AC206" s="2"/>
      <c r="AD206" s="3"/>
      <c r="AE206" s="4"/>
      <c r="AF206" s="4"/>
    </row>
    <row r="207" customFormat="false" ht="25.5" hidden="false" customHeight="false" outlineLevel="0" collapsed="false">
      <c r="AB207" s="2"/>
      <c r="AC207" s="2"/>
      <c r="AD207" s="3"/>
      <c r="AE207" s="4"/>
      <c r="AF207" s="4"/>
    </row>
    <row r="208" customFormat="false" ht="25.5" hidden="false" customHeight="false" outlineLevel="0" collapsed="false">
      <c r="AB208" s="2"/>
      <c r="AC208" s="2"/>
      <c r="AD208" s="3"/>
      <c r="AE208" s="4"/>
      <c r="AF208" s="4"/>
    </row>
    <row r="209" customFormat="false" ht="25.5" hidden="false" customHeight="false" outlineLevel="0" collapsed="false">
      <c r="AB209" s="2"/>
      <c r="AC209" s="2"/>
      <c r="AD209" s="3"/>
      <c r="AE209" s="4"/>
      <c r="AF209" s="4"/>
    </row>
    <row r="210" customFormat="false" ht="25.5" hidden="false" customHeight="false" outlineLevel="0" collapsed="false">
      <c r="AB210" s="2"/>
      <c r="AC210" s="2"/>
      <c r="AD210" s="3"/>
      <c r="AE210" s="4"/>
      <c r="AF210" s="4"/>
    </row>
    <row r="211" customFormat="false" ht="25.5" hidden="false" customHeight="false" outlineLevel="0" collapsed="false">
      <c r="AB211" s="2"/>
      <c r="AC211" s="2"/>
      <c r="AD211" s="3"/>
      <c r="AE211" s="4"/>
      <c r="AF211" s="4"/>
    </row>
    <row r="212" customFormat="false" ht="25.5" hidden="false" customHeight="false" outlineLevel="0" collapsed="false">
      <c r="AB212" s="2"/>
      <c r="AC212" s="2"/>
      <c r="AD212" s="3"/>
      <c r="AE212" s="4"/>
      <c r="AF212" s="4"/>
    </row>
    <row r="213" customFormat="false" ht="25.5" hidden="false" customHeight="false" outlineLevel="0" collapsed="false">
      <c r="AB213" s="2"/>
      <c r="AC213" s="2"/>
      <c r="AD213" s="3"/>
      <c r="AE213" s="4"/>
      <c r="AF213" s="4"/>
    </row>
    <row r="214" customFormat="false" ht="25.5" hidden="false" customHeight="false" outlineLevel="0" collapsed="false">
      <c r="AB214" s="2"/>
      <c r="AC214" s="2"/>
      <c r="AD214" s="3"/>
      <c r="AE214" s="4"/>
      <c r="AF214" s="4"/>
    </row>
    <row r="215" customFormat="false" ht="25.5" hidden="false" customHeight="false" outlineLevel="0" collapsed="false">
      <c r="AB215" s="2"/>
      <c r="AC215" s="2"/>
      <c r="AD215" s="3"/>
      <c r="AE215" s="4"/>
      <c r="AF215" s="4"/>
    </row>
    <row r="216" customFormat="false" ht="25.5" hidden="false" customHeight="false" outlineLevel="0" collapsed="false">
      <c r="AB216" s="2"/>
      <c r="AC216" s="2"/>
      <c r="AD216" s="3"/>
      <c r="AE216" s="4"/>
      <c r="AF216" s="4"/>
    </row>
    <row r="217" customFormat="false" ht="25.5" hidden="false" customHeight="false" outlineLevel="0" collapsed="false">
      <c r="AB217" s="2"/>
      <c r="AC217" s="2"/>
      <c r="AD217" s="3"/>
      <c r="AE217" s="4"/>
      <c r="AF217" s="4"/>
    </row>
    <row r="218" customFormat="false" ht="25.5" hidden="false" customHeight="false" outlineLevel="0" collapsed="false">
      <c r="AB218" s="2"/>
      <c r="AC218" s="2"/>
      <c r="AD218" s="3"/>
      <c r="AE218" s="4"/>
      <c r="AF218" s="4"/>
    </row>
    <row r="219" customFormat="false" ht="25.5" hidden="false" customHeight="false" outlineLevel="0" collapsed="false">
      <c r="AB219" s="2"/>
      <c r="AC219" s="2"/>
      <c r="AD219" s="3"/>
      <c r="AE219" s="4"/>
      <c r="AF219" s="4"/>
    </row>
    <row r="220" customFormat="false" ht="25.5" hidden="false" customHeight="false" outlineLevel="0" collapsed="false">
      <c r="AB220" s="2"/>
      <c r="AC220" s="2"/>
      <c r="AD220" s="3"/>
      <c r="AE220" s="4"/>
      <c r="AF220" s="4"/>
    </row>
    <row r="221" customFormat="false" ht="25.5" hidden="false" customHeight="false" outlineLevel="0" collapsed="false">
      <c r="AB221" s="2"/>
      <c r="AC221" s="2"/>
      <c r="AD221" s="3"/>
      <c r="AE221" s="4"/>
      <c r="AF221" s="4"/>
    </row>
    <row r="222" customFormat="false" ht="25.5" hidden="false" customHeight="false" outlineLevel="0" collapsed="false">
      <c r="AB222" s="2"/>
      <c r="AC222" s="2"/>
      <c r="AD222" s="3"/>
      <c r="AE222" s="4"/>
      <c r="AF222" s="4"/>
    </row>
    <row r="223" customFormat="false" ht="25.5" hidden="false" customHeight="false" outlineLevel="0" collapsed="false">
      <c r="AB223" s="2"/>
      <c r="AC223" s="2"/>
      <c r="AD223" s="3"/>
      <c r="AE223" s="4"/>
      <c r="AF223" s="4"/>
    </row>
    <row r="224" customFormat="false" ht="25.5" hidden="false" customHeight="false" outlineLevel="0" collapsed="false">
      <c r="AB224" s="2"/>
      <c r="AC224" s="2"/>
      <c r="AD224" s="3"/>
      <c r="AE224" s="4"/>
      <c r="AF224" s="4"/>
    </row>
    <row r="225" customFormat="false" ht="25.5" hidden="false" customHeight="false" outlineLevel="0" collapsed="false">
      <c r="AB225" s="2"/>
      <c r="AC225" s="2"/>
      <c r="AD225" s="3"/>
      <c r="AE225" s="4"/>
      <c r="AF225" s="4"/>
    </row>
    <row r="226" customFormat="false" ht="25.5" hidden="false" customHeight="false" outlineLevel="0" collapsed="false">
      <c r="AB226" s="2"/>
      <c r="AC226" s="2"/>
      <c r="AD226" s="3"/>
      <c r="AE226" s="4"/>
      <c r="AF226" s="4"/>
    </row>
    <row r="227" customFormat="false" ht="25.5" hidden="false" customHeight="false" outlineLevel="0" collapsed="false">
      <c r="AB227" s="2"/>
      <c r="AC227" s="2"/>
      <c r="AD227" s="3"/>
      <c r="AE227" s="4"/>
      <c r="AF227" s="4"/>
    </row>
    <row r="228" customFormat="false" ht="25.5" hidden="false" customHeight="false" outlineLevel="0" collapsed="false">
      <c r="AB228" s="2"/>
      <c r="AC228" s="2"/>
      <c r="AD228" s="3"/>
      <c r="AE228" s="4"/>
      <c r="AF228" s="4"/>
    </row>
    <row r="229" customFormat="false" ht="25.5" hidden="false" customHeight="false" outlineLevel="0" collapsed="false">
      <c r="AB229" s="2"/>
      <c r="AC229" s="2"/>
      <c r="AD229" s="3"/>
      <c r="AE229" s="4"/>
      <c r="AF229" s="4"/>
    </row>
    <row r="230" customFormat="false" ht="25.5" hidden="false" customHeight="false" outlineLevel="0" collapsed="false">
      <c r="AB230" s="2"/>
      <c r="AC230" s="2"/>
      <c r="AD230" s="3"/>
      <c r="AE230" s="4"/>
      <c r="AF230" s="4"/>
    </row>
    <row r="231" customFormat="false" ht="25.5" hidden="false" customHeight="false" outlineLevel="0" collapsed="false">
      <c r="AB231" s="2"/>
      <c r="AC231" s="2"/>
      <c r="AD231" s="3"/>
      <c r="AE231" s="4"/>
      <c r="AF231" s="4"/>
    </row>
    <row r="232" customFormat="false" ht="25.5" hidden="false" customHeight="false" outlineLevel="0" collapsed="false">
      <c r="AB232" s="2"/>
      <c r="AC232" s="2"/>
      <c r="AD232" s="3"/>
      <c r="AE232" s="4"/>
      <c r="AF232" s="4"/>
    </row>
    <row r="233" customFormat="false" ht="25.5" hidden="false" customHeight="false" outlineLevel="0" collapsed="false">
      <c r="AB233" s="2"/>
      <c r="AC233" s="2"/>
      <c r="AD233" s="3"/>
      <c r="AE233" s="4"/>
      <c r="AF233" s="4"/>
    </row>
    <row r="234" customFormat="false" ht="25.5" hidden="false" customHeight="false" outlineLevel="0" collapsed="false">
      <c r="AB234" s="2"/>
      <c r="AC234" s="2"/>
      <c r="AD234" s="3"/>
      <c r="AE234" s="4"/>
      <c r="AF234" s="4"/>
    </row>
    <row r="235" customFormat="false" ht="25.5" hidden="false" customHeight="false" outlineLevel="0" collapsed="false">
      <c r="AB235" s="2"/>
      <c r="AC235" s="2"/>
      <c r="AD235" s="3"/>
      <c r="AE235" s="4"/>
      <c r="AF235" s="4"/>
    </row>
    <row r="236" customFormat="false" ht="25.5" hidden="false" customHeight="false" outlineLevel="0" collapsed="false">
      <c r="AB236" s="2"/>
      <c r="AC236" s="2"/>
      <c r="AD236" s="3"/>
      <c r="AE236" s="4"/>
      <c r="AF236" s="4"/>
    </row>
    <row r="237" customFormat="false" ht="25.5" hidden="false" customHeight="false" outlineLevel="0" collapsed="false">
      <c r="AB237" s="2"/>
      <c r="AC237" s="2"/>
      <c r="AD237" s="3"/>
      <c r="AE237" s="4"/>
      <c r="AF237" s="4"/>
    </row>
    <row r="238" customFormat="false" ht="25.5" hidden="false" customHeight="false" outlineLevel="0" collapsed="false">
      <c r="AB238" s="2"/>
      <c r="AC238" s="2"/>
      <c r="AD238" s="3"/>
      <c r="AE238" s="4"/>
      <c r="AF238" s="4"/>
    </row>
    <row r="239" customFormat="false" ht="25.5" hidden="false" customHeight="false" outlineLevel="0" collapsed="false">
      <c r="AB239" s="2"/>
      <c r="AC239" s="2"/>
      <c r="AD239" s="3"/>
      <c r="AE239" s="4"/>
      <c r="AF239" s="4"/>
    </row>
    <row r="240" customFormat="false" ht="25.5" hidden="false" customHeight="false" outlineLevel="0" collapsed="false">
      <c r="AB240" s="2"/>
      <c r="AC240" s="2"/>
      <c r="AD240" s="3"/>
      <c r="AE240" s="4"/>
      <c r="AF240" s="4"/>
    </row>
    <row r="241" customFormat="false" ht="25.5" hidden="false" customHeight="false" outlineLevel="0" collapsed="false">
      <c r="AB241" s="2"/>
      <c r="AC241" s="2"/>
      <c r="AD241" s="3"/>
      <c r="AE241" s="4"/>
      <c r="AF241" s="4"/>
    </row>
    <row r="242" customFormat="false" ht="25.5" hidden="false" customHeight="false" outlineLevel="0" collapsed="false">
      <c r="AB242" s="2"/>
      <c r="AC242" s="2"/>
      <c r="AD242" s="3"/>
      <c r="AE242" s="4"/>
      <c r="AF242" s="4"/>
    </row>
    <row r="243" customFormat="false" ht="25.5" hidden="false" customHeight="false" outlineLevel="0" collapsed="false">
      <c r="AB243" s="2"/>
      <c r="AC243" s="2"/>
      <c r="AD243" s="3"/>
      <c r="AE243" s="4"/>
      <c r="AF243" s="4"/>
    </row>
    <row r="244" customFormat="false" ht="25.5" hidden="false" customHeight="false" outlineLevel="0" collapsed="false">
      <c r="AB244" s="2"/>
      <c r="AC244" s="2"/>
      <c r="AD244" s="3"/>
      <c r="AE244" s="4"/>
      <c r="AF244" s="4"/>
    </row>
    <row r="245" customFormat="false" ht="25.5" hidden="false" customHeight="false" outlineLevel="0" collapsed="false">
      <c r="AB245" s="2"/>
      <c r="AC245" s="2"/>
      <c r="AD245" s="3"/>
      <c r="AE245" s="4"/>
      <c r="AF245" s="4"/>
    </row>
  </sheetData>
  <mergeCells count="14">
    <mergeCell ref="C2:Z2"/>
    <mergeCell ref="H3:S3"/>
    <mergeCell ref="U3:AA3"/>
    <mergeCell ref="A4:A5"/>
    <mergeCell ref="B4:C4"/>
    <mergeCell ref="D4:E4"/>
    <mergeCell ref="F4:G4"/>
    <mergeCell ref="H4:I4"/>
    <mergeCell ref="J4:K4"/>
    <mergeCell ref="L4:M4"/>
    <mergeCell ref="N4:N5"/>
    <mergeCell ref="O4:P4"/>
    <mergeCell ref="Q4:R4"/>
    <mergeCell ref="U39:X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F245"/>
  <sheetViews>
    <sheetView showFormulas="false" showGridLines="false" showRowColHeaders="true" showZeros="true" rightToLeft="false" tabSelected="false" showOutlineSymbols="true" defaultGridColor="true" view="normal" topLeftCell="A1" colorId="64" zoomScale="47" zoomScaleNormal="47" zoomScalePageLayoutView="27" workbookViewId="0">
      <pane xSplit="1" ySplit="0" topLeftCell="Q1" activePane="topRight" state="frozen"/>
      <selection pane="topLeft" activeCell="A1" activeCellId="0" sqref="A1"/>
      <selection pane="topRight" activeCell="V39" activeCellId="0" sqref="V39"/>
    </sheetView>
  </sheetViews>
  <sheetFormatPr defaultColWidth="8.71484375" defaultRowHeight="24" zeroHeight="false" outlineLevelRow="0" outlineLevelCol="0"/>
  <cols>
    <col collapsed="false" customWidth="true" hidden="false" outlineLevel="0" max="1" min="1" style="1" width="51.86"/>
    <col collapsed="false" customWidth="true" hidden="false" outlineLevel="0" max="2" min="2" style="1" width="29.57"/>
    <col collapsed="false" customWidth="true" hidden="false" outlineLevel="0" max="3" min="3" style="1" width="41.43"/>
    <col collapsed="false" customWidth="true" hidden="false" outlineLevel="0" max="4" min="4" style="1" width="29.57"/>
    <col collapsed="false" customWidth="true" hidden="false" outlineLevel="0" max="5" min="5" style="1" width="39.86"/>
    <col collapsed="false" customWidth="true" hidden="false" outlineLevel="0" max="6" min="6" style="1" width="29.57"/>
    <col collapsed="false" customWidth="true" hidden="false" outlineLevel="0" max="7" min="7" style="1" width="39.86"/>
    <col collapsed="false" customWidth="true" hidden="false" outlineLevel="0" max="8" min="8" style="1" width="29.57"/>
    <col collapsed="false" customWidth="true" hidden="false" outlineLevel="0" max="9" min="9" style="1" width="39.86"/>
    <col collapsed="false" customWidth="true" hidden="false" outlineLevel="0" max="10" min="10" style="1" width="29.57"/>
    <col collapsed="false" customWidth="true" hidden="false" outlineLevel="0" max="11" min="11" style="1" width="38.43"/>
    <col collapsed="false" customWidth="true" hidden="false" outlineLevel="0" max="12" min="12" style="1" width="29.57"/>
    <col collapsed="false" customWidth="true" hidden="false" outlineLevel="0" max="15" min="13" style="1" width="33.86"/>
    <col collapsed="false" customWidth="true" hidden="false" outlineLevel="0" max="17" min="16" style="1" width="40.14"/>
    <col collapsed="false" customWidth="true" hidden="false" outlineLevel="0" max="18" min="18" style="1" width="50.57"/>
    <col collapsed="false" customWidth="true" hidden="false" outlineLevel="0" max="19" min="19" style="1" width="39.86"/>
    <col collapsed="false" customWidth="true" hidden="false" outlineLevel="0" max="20" min="20" style="1" width="13.29"/>
    <col collapsed="false" customWidth="true" hidden="false" outlineLevel="0" max="21" min="21" style="1" width="47.43"/>
    <col collapsed="false" customWidth="true" hidden="false" outlineLevel="0" max="22" min="22" style="1" width="55.14"/>
    <col collapsed="false" customWidth="true" hidden="false" outlineLevel="0" max="24" min="23" style="1" width="47.43"/>
    <col collapsed="false" customWidth="true" hidden="false" outlineLevel="0" max="25" min="25" style="1" width="47.86"/>
    <col collapsed="false" customWidth="true" hidden="false" outlineLevel="0" max="26" min="26" style="1" width="141"/>
    <col collapsed="false" customWidth="true" hidden="false" outlineLevel="0" max="27" min="27" style="1" width="28.86"/>
    <col collapsed="false" customWidth="true" hidden="false" outlineLevel="0" max="28" min="28" style="1" width="55.43"/>
    <col collapsed="false" customWidth="true" hidden="false" outlineLevel="0" max="29" min="29" style="2" width="27.86"/>
    <col collapsed="false" customWidth="true" hidden="false" outlineLevel="0" max="30" min="30" style="2" width="9.14"/>
    <col collapsed="false" customWidth="true" hidden="false" outlineLevel="0" max="31" min="31" style="3" width="37"/>
    <col collapsed="false" customWidth="false" hidden="false" outlineLevel="0" max="32" min="32" style="4" width="8.71"/>
    <col collapsed="false" customWidth="true" hidden="false" outlineLevel="0" max="33" min="33" style="4" width="109.43"/>
    <col collapsed="false" customWidth="true" hidden="false" outlineLevel="0" max="34" min="34" style="4" width="19.86"/>
    <col collapsed="false" customWidth="false" hidden="false" outlineLevel="0" max="16384" min="35" style="4" width="8.71"/>
  </cols>
  <sheetData>
    <row r="2" s="11" customFormat="true" ht="105" hidden="false" customHeight="true" outlineLevel="0" collapsed="false">
      <c r="A2" s="5"/>
      <c r="B2" s="5"/>
      <c r="C2" s="6" t="s">
        <v>94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105"/>
      <c r="AA2" s="7"/>
      <c r="AB2" s="8"/>
      <c r="AC2" s="9"/>
      <c r="AD2" s="9"/>
      <c r="AE2" s="10"/>
    </row>
    <row r="3" s="11" customFormat="true" ht="62.25" hidden="false" customHeight="true" outlineLevel="0" collapsed="false">
      <c r="A3" s="5"/>
      <c r="B3" s="5"/>
      <c r="C3" s="12"/>
      <c r="D3" s="12"/>
      <c r="E3" s="12"/>
      <c r="F3" s="13"/>
      <c r="G3" s="13"/>
      <c r="H3" s="14" t="n">
        <v>46082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2"/>
      <c r="U3" s="15" t="s">
        <v>1</v>
      </c>
      <c r="V3" s="15"/>
      <c r="W3" s="15"/>
      <c r="X3" s="15"/>
      <c r="Y3" s="15"/>
      <c r="Z3" s="15"/>
      <c r="AA3" s="9"/>
      <c r="AB3" s="9"/>
      <c r="AC3" s="10"/>
    </row>
    <row r="4" s="29" customFormat="true" ht="93.75" hidden="false" customHeight="true" outlineLevel="0" collapsed="false">
      <c r="A4" s="16" t="s">
        <v>2</v>
      </c>
      <c r="B4" s="17" t="s">
        <v>3</v>
      </c>
      <c r="C4" s="17"/>
      <c r="D4" s="17" t="s">
        <v>4</v>
      </c>
      <c r="E4" s="17"/>
      <c r="F4" s="17" t="s">
        <v>5</v>
      </c>
      <c r="G4" s="17"/>
      <c r="H4" s="17" t="s">
        <v>6</v>
      </c>
      <c r="I4" s="17"/>
      <c r="J4" s="18" t="s">
        <v>7</v>
      </c>
      <c r="K4" s="18"/>
      <c r="L4" s="18" t="s">
        <v>8</v>
      </c>
      <c r="M4" s="18"/>
      <c r="N4" s="19" t="s">
        <v>9</v>
      </c>
      <c r="O4" s="20" t="s">
        <v>10</v>
      </c>
      <c r="P4" s="20"/>
      <c r="Q4" s="21" t="s">
        <v>11</v>
      </c>
      <c r="R4" s="21"/>
      <c r="S4" s="22" t="s">
        <v>12</v>
      </c>
      <c r="T4" s="17"/>
      <c r="U4" s="23" t="s">
        <v>13</v>
      </c>
      <c r="V4" s="23" t="s">
        <v>82</v>
      </c>
      <c r="W4" s="24" t="s">
        <v>95</v>
      </c>
      <c r="X4" s="107" t="s">
        <v>82</v>
      </c>
      <c r="Y4" s="25" t="s">
        <v>15</v>
      </c>
      <c r="Z4" s="26" t="s">
        <v>16</v>
      </c>
      <c r="AA4" s="27" t="s">
        <v>17</v>
      </c>
      <c r="AB4" s="27"/>
      <c r="AC4" s="28"/>
    </row>
    <row r="5" s="29" customFormat="true" ht="93.75" hidden="false" customHeight="true" outlineLevel="0" collapsed="false">
      <c r="A5" s="16"/>
      <c r="B5" s="30" t="s">
        <v>18</v>
      </c>
      <c r="C5" s="31" t="s">
        <v>19</v>
      </c>
      <c r="D5" s="30" t="s">
        <v>18</v>
      </c>
      <c r="E5" s="31" t="s">
        <v>19</v>
      </c>
      <c r="F5" s="30" t="s">
        <v>18</v>
      </c>
      <c r="G5" s="31" t="s">
        <v>19</v>
      </c>
      <c r="H5" s="30" t="s">
        <v>18</v>
      </c>
      <c r="I5" s="31" t="s">
        <v>19</v>
      </c>
      <c r="J5" s="30" t="s">
        <v>18</v>
      </c>
      <c r="K5" s="31" t="s">
        <v>19</v>
      </c>
      <c r="L5" s="30" t="s">
        <v>18</v>
      </c>
      <c r="M5" s="31" t="s">
        <v>19</v>
      </c>
      <c r="N5" s="19"/>
      <c r="O5" s="32" t="s">
        <v>20</v>
      </c>
      <c r="P5" s="33" t="s">
        <v>19</v>
      </c>
      <c r="Q5" s="34" t="s">
        <v>21</v>
      </c>
      <c r="R5" s="35" t="s">
        <v>22</v>
      </c>
      <c r="S5" s="30"/>
      <c r="T5" s="31"/>
      <c r="U5" s="36"/>
      <c r="V5" s="36"/>
      <c r="W5" s="37"/>
      <c r="X5" s="109"/>
      <c r="Y5" s="38"/>
      <c r="Z5" s="39"/>
      <c r="AA5" s="27"/>
      <c r="AB5" s="27"/>
      <c r="AC5" s="28"/>
    </row>
    <row r="6" s="51" customFormat="true" ht="51.75" hidden="false" customHeight="true" outlineLevel="0" collapsed="false">
      <c r="A6" s="40" t="s">
        <v>23</v>
      </c>
      <c r="B6" s="41"/>
      <c r="C6" s="42" t="n">
        <v>43.5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 t="s">
        <v>24</v>
      </c>
      <c r="Q6" s="44"/>
      <c r="R6" s="45"/>
      <c r="S6" s="46"/>
      <c r="T6" s="46"/>
      <c r="U6" s="43"/>
      <c r="V6" s="43"/>
      <c r="W6" s="43"/>
      <c r="X6" s="47"/>
      <c r="Y6" s="47"/>
      <c r="Z6" s="48"/>
      <c r="AA6" s="111" t="n">
        <f aca="false">C6</f>
        <v>43.5</v>
      </c>
      <c r="AB6" s="49"/>
      <c r="AC6" s="50" t="s">
        <v>25</v>
      </c>
      <c r="AE6" s="52"/>
    </row>
    <row r="7" s="51" customFormat="true" ht="60" hidden="false" customHeight="true" outlineLevel="0" collapsed="false">
      <c r="A7" s="53" t="n">
        <v>46082</v>
      </c>
      <c r="B7" s="54" t="n">
        <v>9.5</v>
      </c>
      <c r="C7" s="55" t="n">
        <v>56550</v>
      </c>
      <c r="D7" s="55" t="n">
        <v>8.5</v>
      </c>
      <c r="E7" s="55" t="n">
        <v>60700</v>
      </c>
      <c r="F7" s="55"/>
      <c r="G7" s="55"/>
      <c r="H7" s="55" t="n">
        <v>15.5</v>
      </c>
      <c r="I7" s="55" t="n">
        <v>101100</v>
      </c>
      <c r="J7" s="55"/>
      <c r="K7" s="55"/>
      <c r="L7" s="55"/>
      <c r="M7" s="55"/>
      <c r="N7" s="55" t="n">
        <v>40</v>
      </c>
      <c r="O7" s="55"/>
      <c r="P7" s="56"/>
      <c r="Q7" s="57" t="n">
        <f aca="false">B7+D7+F7+H7+J7+L7</f>
        <v>33.5</v>
      </c>
      <c r="R7" s="57" t="n">
        <f aca="false">C7+E7+G7+I7+K7+M7</f>
        <v>218350</v>
      </c>
      <c r="S7" s="59" t="s">
        <v>96</v>
      </c>
      <c r="T7" s="60"/>
      <c r="U7" s="61"/>
      <c r="V7" s="61"/>
      <c r="W7" s="122" t="n">
        <v>59300</v>
      </c>
      <c r="X7" s="114" t="n">
        <v>53.5</v>
      </c>
      <c r="Y7" s="63"/>
      <c r="Z7" s="64" t="s">
        <v>97</v>
      </c>
      <c r="AA7" s="49"/>
      <c r="AB7" s="49"/>
      <c r="AC7" s="65" t="n">
        <f aca="false">C6+C7-U7-W7</f>
        <v>-2706.5</v>
      </c>
      <c r="AE7" s="52"/>
      <c r="AF7" s="66"/>
    </row>
    <row r="8" s="51" customFormat="true" ht="60" hidden="false" customHeight="true" outlineLevel="0" collapsed="false">
      <c r="A8" s="53" t="n">
        <v>46083</v>
      </c>
      <c r="B8" s="54" t="n">
        <v>3</v>
      </c>
      <c r="C8" s="67" t="n">
        <v>7400</v>
      </c>
      <c r="D8" s="67"/>
      <c r="E8" s="55"/>
      <c r="F8" s="67" t="n">
        <v>1</v>
      </c>
      <c r="G8" s="67" t="n">
        <v>10100</v>
      </c>
      <c r="H8" s="67" t="n">
        <v>10.5</v>
      </c>
      <c r="I8" s="55" t="n">
        <v>67950</v>
      </c>
      <c r="J8" s="55"/>
      <c r="K8" s="55"/>
      <c r="L8" s="55"/>
      <c r="M8" s="55"/>
      <c r="N8" s="55" t="n">
        <v>22.5</v>
      </c>
      <c r="O8" s="55"/>
      <c r="P8" s="56"/>
      <c r="Q8" s="57" t="n">
        <f aca="false">B8+D8+F8+H8+J8+L8</f>
        <v>14.5</v>
      </c>
      <c r="R8" s="57" t="n">
        <f aca="false">C8+E8+G8+I8+K8+M8</f>
        <v>85450</v>
      </c>
      <c r="S8" s="69" t="s">
        <v>98</v>
      </c>
      <c r="T8" s="70"/>
      <c r="U8" s="71" t="n">
        <v>13400</v>
      </c>
      <c r="V8" s="71" t="n">
        <f aca="false">20+35</f>
        <v>55</v>
      </c>
      <c r="W8" s="72"/>
      <c r="X8" s="119"/>
      <c r="Y8" s="73"/>
      <c r="Z8" s="74" t="s">
        <v>99</v>
      </c>
      <c r="AA8" s="49"/>
      <c r="AB8" s="49"/>
      <c r="AC8" s="65" t="n">
        <f aca="false">C8-U8-W8</f>
        <v>-6000</v>
      </c>
    </row>
    <row r="9" s="51" customFormat="true" ht="60" hidden="false" customHeight="true" outlineLevel="0" collapsed="false">
      <c r="A9" s="53" t="n">
        <v>46084</v>
      </c>
      <c r="B9" s="54" t="n">
        <v>8</v>
      </c>
      <c r="C9" s="67" t="n">
        <v>27150</v>
      </c>
      <c r="D9" s="67" t="n">
        <v>2</v>
      </c>
      <c r="E9" s="55" t="n">
        <v>12050</v>
      </c>
      <c r="F9" s="67"/>
      <c r="G9" s="67"/>
      <c r="H9" s="67" t="n">
        <v>3.5</v>
      </c>
      <c r="I9" s="55" t="n">
        <v>12950</v>
      </c>
      <c r="J9" s="55"/>
      <c r="K9" s="55"/>
      <c r="L9" s="55"/>
      <c r="M9" s="55"/>
      <c r="N9" s="55" t="n">
        <v>15.5</v>
      </c>
      <c r="O9" s="55"/>
      <c r="P9" s="56"/>
      <c r="Q9" s="57" t="n">
        <f aca="false">B9+D9+F9+H9+J9+L9</f>
        <v>13.5</v>
      </c>
      <c r="R9" s="57" t="n">
        <f aca="false">C9+E9+G9+I9+K9+M9</f>
        <v>52150</v>
      </c>
      <c r="S9" s="69" t="s">
        <v>96</v>
      </c>
      <c r="T9" s="70"/>
      <c r="U9" s="71" t="n">
        <v>27200</v>
      </c>
      <c r="V9" s="71" t="n">
        <v>52.5</v>
      </c>
      <c r="W9" s="72"/>
      <c r="X9" s="119"/>
      <c r="Y9" s="73"/>
      <c r="Z9" s="74"/>
      <c r="AA9" s="49"/>
      <c r="AB9" s="49"/>
      <c r="AC9" s="65" t="n">
        <f aca="false">C9-U9-W9</f>
        <v>-50</v>
      </c>
    </row>
    <row r="10" s="51" customFormat="true" ht="60" hidden="false" customHeight="true" outlineLevel="0" collapsed="false">
      <c r="A10" s="53" t="n">
        <v>46085</v>
      </c>
      <c r="B10" s="54" t="n">
        <v>6.5</v>
      </c>
      <c r="C10" s="67" t="n">
        <v>26850</v>
      </c>
      <c r="D10" s="67" t="n">
        <v>2</v>
      </c>
      <c r="E10" s="55" t="n">
        <v>8050</v>
      </c>
      <c r="F10" s="67"/>
      <c r="G10" s="67"/>
      <c r="H10" s="67" t="n">
        <v>4</v>
      </c>
      <c r="I10" s="55" t="n">
        <v>22000</v>
      </c>
      <c r="J10" s="55"/>
      <c r="K10" s="55"/>
      <c r="L10" s="55"/>
      <c r="M10" s="55"/>
      <c r="N10" s="55" t="n">
        <v>14</v>
      </c>
      <c r="O10" s="55" t="n">
        <v>1</v>
      </c>
      <c r="P10" s="56" t="n">
        <v>4300</v>
      </c>
      <c r="Q10" s="57" t="n">
        <f aca="false">B10+D10+F10+H10+J10+L10</f>
        <v>12.5</v>
      </c>
      <c r="R10" s="57" t="n">
        <f aca="false">C10+E10+G10+I10+K10+M10</f>
        <v>56900</v>
      </c>
      <c r="S10" s="69" t="s">
        <v>98</v>
      </c>
      <c r="T10" s="70"/>
      <c r="U10" s="71" t="n">
        <v>32500</v>
      </c>
      <c r="V10" s="71" t="n">
        <v>39.5</v>
      </c>
      <c r="W10" s="72"/>
      <c r="X10" s="119"/>
      <c r="Y10" s="73"/>
      <c r="Z10" s="74"/>
      <c r="AA10" s="49"/>
      <c r="AB10" s="49"/>
      <c r="AC10" s="65" t="n">
        <f aca="false">C10-U10-W10</f>
        <v>-5650</v>
      </c>
    </row>
    <row r="11" s="51" customFormat="true" ht="60" hidden="false" customHeight="true" outlineLevel="0" collapsed="false">
      <c r="A11" s="53" t="n">
        <v>46086</v>
      </c>
      <c r="B11" s="54" t="n">
        <v>14</v>
      </c>
      <c r="C11" s="67" t="n">
        <v>90700</v>
      </c>
      <c r="D11" s="67" t="n">
        <v>1</v>
      </c>
      <c r="E11" s="55" t="n">
        <v>13850</v>
      </c>
      <c r="F11" s="67"/>
      <c r="G11" s="67"/>
      <c r="H11" s="67" t="n">
        <v>5</v>
      </c>
      <c r="I11" s="55" t="n">
        <v>34650</v>
      </c>
      <c r="J11" s="55"/>
      <c r="K11" s="55"/>
      <c r="L11" s="55"/>
      <c r="M11" s="55"/>
      <c r="N11" s="55" t="n">
        <v>18</v>
      </c>
      <c r="O11" s="55" t="n">
        <v>1</v>
      </c>
      <c r="P11" s="56" t="n">
        <v>5900</v>
      </c>
      <c r="Q11" s="57" t="n">
        <f aca="false">B11+D11+F11+H11+J11+L11</f>
        <v>20</v>
      </c>
      <c r="R11" s="57" t="n">
        <f aca="false">C11+E11+G11+I11+K11+M11</f>
        <v>139200</v>
      </c>
      <c r="S11" s="69" t="s">
        <v>98</v>
      </c>
      <c r="T11" s="70"/>
      <c r="U11" s="71" t="n">
        <v>54550</v>
      </c>
      <c r="V11" s="71" t="n">
        <v>111</v>
      </c>
      <c r="W11" s="72"/>
      <c r="X11" s="119"/>
      <c r="Y11" s="73"/>
      <c r="Z11" s="64" t="s">
        <v>100</v>
      </c>
      <c r="AA11" s="49"/>
      <c r="AB11" s="49"/>
      <c r="AC11" s="65" t="n">
        <f aca="false">C11-U11-W11</f>
        <v>36150</v>
      </c>
    </row>
    <row r="12" s="51" customFormat="true" ht="60" hidden="false" customHeight="true" outlineLevel="0" collapsed="false">
      <c r="A12" s="53" t="n">
        <v>46087</v>
      </c>
      <c r="B12" s="54" t="n">
        <v>11</v>
      </c>
      <c r="C12" s="67" t="n">
        <v>49200</v>
      </c>
      <c r="D12" s="67" t="n">
        <v>2.5</v>
      </c>
      <c r="E12" s="55" t="n">
        <v>12800</v>
      </c>
      <c r="F12" s="67"/>
      <c r="G12" s="67"/>
      <c r="H12" s="67" t="n">
        <v>8.5</v>
      </c>
      <c r="I12" s="55" t="n">
        <v>79400</v>
      </c>
      <c r="J12" s="55" t="n">
        <v>2</v>
      </c>
      <c r="K12" s="55" t="n">
        <v>9550</v>
      </c>
      <c r="L12" s="55"/>
      <c r="M12" s="55"/>
      <c r="N12" s="55" t="n">
        <v>25</v>
      </c>
      <c r="O12" s="55"/>
      <c r="P12" s="56"/>
      <c r="Q12" s="57" t="n">
        <f aca="false">B12+D12+F12+H12+J12+L12</f>
        <v>24</v>
      </c>
      <c r="R12" s="57" t="n">
        <f aca="false">C12+E12+G12+I12+K12+M12</f>
        <v>150950</v>
      </c>
      <c r="S12" s="69" t="s">
        <v>98</v>
      </c>
      <c r="T12" s="70"/>
      <c r="U12" s="71" t="n">
        <v>48650</v>
      </c>
      <c r="V12" s="71" t="n">
        <v>72</v>
      </c>
      <c r="W12" s="72"/>
      <c r="X12" s="119"/>
      <c r="Y12" s="73"/>
      <c r="Z12" s="74"/>
      <c r="AA12" s="49"/>
      <c r="AB12" s="49"/>
      <c r="AC12" s="65" t="n">
        <f aca="false">C12-U12-W12</f>
        <v>550</v>
      </c>
    </row>
    <row r="13" s="51" customFormat="true" ht="60" hidden="false" customHeight="true" outlineLevel="0" collapsed="false">
      <c r="A13" s="53" t="n">
        <v>46088</v>
      </c>
      <c r="B13" s="54" t="n">
        <v>8.5</v>
      </c>
      <c r="C13" s="67" t="n">
        <v>61200</v>
      </c>
      <c r="D13" s="67" t="n">
        <v>2.5</v>
      </c>
      <c r="E13" s="55" t="n">
        <v>27100</v>
      </c>
      <c r="F13" s="67"/>
      <c r="G13" s="67"/>
      <c r="H13" s="67" t="n">
        <v>11</v>
      </c>
      <c r="I13" s="55" t="n">
        <v>57850</v>
      </c>
      <c r="J13" s="55"/>
      <c r="K13" s="55"/>
      <c r="L13" s="55"/>
      <c r="M13" s="55"/>
      <c r="N13" s="55" t="n">
        <v>36</v>
      </c>
      <c r="O13" s="55" t="n">
        <v>1</v>
      </c>
      <c r="P13" s="56" t="n">
        <v>5600</v>
      </c>
      <c r="Q13" s="57" t="n">
        <f aca="false">B13+D13+F13+H13+J13+L13</f>
        <v>22</v>
      </c>
      <c r="R13" s="57" t="n">
        <f aca="false">C13+E13+G13+I13+K13+M13</f>
        <v>146150</v>
      </c>
      <c r="S13" s="69" t="s">
        <v>98</v>
      </c>
      <c r="T13" s="70"/>
      <c r="U13" s="71" t="n">
        <v>66350</v>
      </c>
      <c r="V13" s="71" t="n">
        <v>57.5</v>
      </c>
      <c r="W13" s="72"/>
      <c r="X13" s="119"/>
      <c r="Y13" s="73"/>
      <c r="Z13" s="74"/>
      <c r="AA13" s="49"/>
      <c r="AB13" s="49"/>
      <c r="AC13" s="65" t="n">
        <f aca="false">C13-U13-W13</f>
        <v>-5150</v>
      </c>
    </row>
    <row r="14" s="51" customFormat="true" ht="60" hidden="false" customHeight="true" outlineLevel="0" collapsed="false">
      <c r="A14" s="53" t="n">
        <v>46089</v>
      </c>
      <c r="B14" s="54" t="n">
        <v>3</v>
      </c>
      <c r="C14" s="67" t="n">
        <v>15850</v>
      </c>
      <c r="D14" s="67" t="n">
        <v>4.5</v>
      </c>
      <c r="E14" s="55" t="n">
        <v>21900</v>
      </c>
      <c r="F14" s="67"/>
      <c r="G14" s="67"/>
      <c r="H14" s="67" t="n">
        <v>12</v>
      </c>
      <c r="I14" s="55" t="n">
        <v>53900</v>
      </c>
      <c r="J14" s="55"/>
      <c r="K14" s="55"/>
      <c r="L14" s="55"/>
      <c r="M14" s="55"/>
      <c r="N14" s="55" t="n">
        <v>21</v>
      </c>
      <c r="O14" s="55"/>
      <c r="P14" s="56"/>
      <c r="Q14" s="57" t="n">
        <f aca="false">B14+D14+F14+H14+J14+L14</f>
        <v>19.5</v>
      </c>
      <c r="R14" s="57" t="n">
        <f aca="false">C14+E14+G14+I14+K14+M14</f>
        <v>91650</v>
      </c>
      <c r="S14" s="69" t="s">
        <v>98</v>
      </c>
      <c r="T14" s="70"/>
      <c r="U14" s="71" t="n">
        <v>5600</v>
      </c>
      <c r="V14" s="71" t="n">
        <v>16.5</v>
      </c>
      <c r="W14" s="72" t="n">
        <v>10900</v>
      </c>
      <c r="X14" s="119" t="n">
        <v>17</v>
      </c>
      <c r="Y14" s="73"/>
      <c r="Z14" s="74" t="s">
        <v>101</v>
      </c>
      <c r="AA14" s="49"/>
      <c r="AB14" s="49"/>
      <c r="AC14" s="65" t="n">
        <f aca="false">C14-U14-W14</f>
        <v>-650</v>
      </c>
    </row>
    <row r="15" s="51" customFormat="true" ht="60" hidden="false" customHeight="true" outlineLevel="0" collapsed="false">
      <c r="A15" s="53" t="n">
        <v>46090</v>
      </c>
      <c r="B15" s="54" t="n">
        <v>4.5</v>
      </c>
      <c r="C15" s="67" t="n">
        <v>33600</v>
      </c>
      <c r="D15" s="67" t="n">
        <v>3</v>
      </c>
      <c r="E15" s="55" t="n">
        <v>27150</v>
      </c>
      <c r="F15" s="67"/>
      <c r="G15" s="67"/>
      <c r="H15" s="67" t="n">
        <v>10</v>
      </c>
      <c r="I15" s="55" t="n">
        <v>44250</v>
      </c>
      <c r="J15" s="55" t="n">
        <v>1</v>
      </c>
      <c r="K15" s="55" t="n">
        <v>6300</v>
      </c>
      <c r="L15" s="55"/>
      <c r="M15" s="55"/>
      <c r="N15" s="55" t="n">
        <v>26.5</v>
      </c>
      <c r="O15" s="55" t="n">
        <v>1</v>
      </c>
      <c r="P15" s="56" t="n">
        <v>6400</v>
      </c>
      <c r="Q15" s="57" t="n">
        <f aca="false">B15+D15+F15+H15+J15+L15</f>
        <v>18.5</v>
      </c>
      <c r="R15" s="57" t="n">
        <f aca="false">C15+E15+G15+I15+K15+M15</f>
        <v>111300</v>
      </c>
      <c r="S15" s="69" t="s">
        <v>96</v>
      </c>
      <c r="T15" s="70"/>
      <c r="U15" s="71" t="n">
        <v>37900</v>
      </c>
      <c r="V15" s="71" t="n">
        <v>60</v>
      </c>
      <c r="W15" s="72"/>
      <c r="X15" s="119"/>
      <c r="Y15" s="73"/>
      <c r="Z15" s="75"/>
      <c r="AA15" s="49"/>
      <c r="AB15" s="49"/>
      <c r="AC15" s="65" t="n">
        <f aca="false">C15-U15-W15</f>
        <v>-4300</v>
      </c>
    </row>
    <row r="16" s="51" customFormat="true" ht="60" hidden="false" customHeight="true" outlineLevel="0" collapsed="false">
      <c r="A16" s="53" t="n">
        <v>46091</v>
      </c>
      <c r="B16" s="54" t="n">
        <v>5.5</v>
      </c>
      <c r="C16" s="67" t="n">
        <v>39800</v>
      </c>
      <c r="D16" s="67" t="n">
        <v>1</v>
      </c>
      <c r="E16" s="55" t="n">
        <v>6350</v>
      </c>
      <c r="F16" s="67"/>
      <c r="G16" s="67"/>
      <c r="H16" s="67" t="n">
        <v>11</v>
      </c>
      <c r="I16" s="55" t="n">
        <v>56150</v>
      </c>
      <c r="J16" s="55" t="n">
        <v>1</v>
      </c>
      <c r="K16" s="55" t="n">
        <v>11650</v>
      </c>
      <c r="L16" s="55"/>
      <c r="M16" s="55"/>
      <c r="N16" s="55" t="n">
        <v>27.5</v>
      </c>
      <c r="O16" s="55"/>
      <c r="P16" s="56"/>
      <c r="Q16" s="57" t="n">
        <f aca="false">B16+D16+F16+H16+J16+L16</f>
        <v>18.5</v>
      </c>
      <c r="R16" s="57" t="n">
        <f aca="false">C16+E16+G16+I16+K16+M16</f>
        <v>113950</v>
      </c>
      <c r="S16" s="69" t="s">
        <v>96</v>
      </c>
      <c r="T16" s="70"/>
      <c r="U16" s="71" t="n">
        <v>32300</v>
      </c>
      <c r="V16" s="71" t="n">
        <v>66</v>
      </c>
      <c r="W16" s="72"/>
      <c r="X16" s="119"/>
      <c r="Y16" s="73"/>
      <c r="Z16" s="75"/>
      <c r="AA16" s="49"/>
      <c r="AB16" s="49"/>
      <c r="AC16" s="65" t="n">
        <f aca="false">C16-U16-W16</f>
        <v>7500</v>
      </c>
    </row>
    <row r="17" s="51" customFormat="true" ht="60" hidden="false" customHeight="true" outlineLevel="0" collapsed="false">
      <c r="A17" s="53" t="n">
        <v>46092</v>
      </c>
      <c r="B17" s="54" t="n">
        <v>7</v>
      </c>
      <c r="C17" s="67" t="n">
        <v>48600</v>
      </c>
      <c r="D17" s="67" t="n">
        <v>2</v>
      </c>
      <c r="E17" s="55" t="n">
        <v>11000</v>
      </c>
      <c r="F17" s="67" t="n">
        <v>2</v>
      </c>
      <c r="G17" s="67" t="n">
        <v>10550</v>
      </c>
      <c r="H17" s="67" t="n">
        <v>5.5</v>
      </c>
      <c r="I17" s="55" t="n">
        <v>37900</v>
      </c>
      <c r="J17" s="55" t="n">
        <v>2</v>
      </c>
      <c r="K17" s="55" t="n">
        <v>11200</v>
      </c>
      <c r="L17" s="55"/>
      <c r="M17" s="55"/>
      <c r="N17" s="55" t="n">
        <v>26.5</v>
      </c>
      <c r="O17" s="55"/>
      <c r="P17" s="56"/>
      <c r="Q17" s="57" t="n">
        <f aca="false">B17+D17+F17+H17+J17+L17</f>
        <v>18.5</v>
      </c>
      <c r="R17" s="57" t="n">
        <f aca="false">C17+E17+G17+I17+K17+M17</f>
        <v>119250</v>
      </c>
      <c r="S17" s="69" t="s">
        <v>98</v>
      </c>
      <c r="T17" s="70"/>
      <c r="U17" s="71" t="n">
        <v>40850</v>
      </c>
      <c r="V17" s="71" t="n">
        <v>72.5</v>
      </c>
      <c r="W17" s="72"/>
      <c r="X17" s="119"/>
      <c r="Y17" s="73"/>
      <c r="Z17" s="75"/>
      <c r="AA17" s="49"/>
      <c r="AB17" s="49"/>
      <c r="AC17" s="65" t="n">
        <f aca="false">C17-U17-W17</f>
        <v>7750</v>
      </c>
    </row>
    <row r="18" s="51" customFormat="true" ht="60" hidden="false" customHeight="true" outlineLevel="0" collapsed="false">
      <c r="A18" s="53" t="n">
        <v>46093</v>
      </c>
      <c r="B18" s="54" t="n">
        <v>5</v>
      </c>
      <c r="C18" s="67" t="n">
        <v>41050</v>
      </c>
      <c r="D18" s="67" t="n">
        <v>7.5</v>
      </c>
      <c r="E18" s="55" t="n">
        <v>51250</v>
      </c>
      <c r="F18" s="67"/>
      <c r="G18" s="67"/>
      <c r="H18" s="67" t="n">
        <v>4</v>
      </c>
      <c r="I18" s="55" t="n">
        <v>34250</v>
      </c>
      <c r="J18" s="55"/>
      <c r="K18" s="55"/>
      <c r="L18" s="55"/>
      <c r="M18" s="55"/>
      <c r="N18" s="55" t="n">
        <v>23.5</v>
      </c>
      <c r="O18" s="55"/>
      <c r="P18" s="56"/>
      <c r="Q18" s="57" t="n">
        <f aca="false">B18+D18+F18+H18+J18+L18</f>
        <v>16.5</v>
      </c>
      <c r="R18" s="57" t="n">
        <f aca="false">C18+E18+G18+I18+K18+M18</f>
        <v>126550</v>
      </c>
      <c r="S18" s="69" t="s">
        <v>96</v>
      </c>
      <c r="T18" s="70"/>
      <c r="U18" s="71" t="n">
        <v>24950</v>
      </c>
      <c r="V18" s="71" t="n">
        <v>62</v>
      </c>
      <c r="W18" s="72"/>
      <c r="X18" s="119"/>
      <c r="Y18" s="73"/>
      <c r="Z18" s="74"/>
      <c r="AA18" s="49"/>
      <c r="AB18" s="49"/>
      <c r="AC18" s="65" t="n">
        <f aca="false">C18-U18-W18</f>
        <v>16100</v>
      </c>
    </row>
    <row r="19" s="51" customFormat="true" ht="60" hidden="false" customHeight="true" outlineLevel="0" collapsed="false">
      <c r="A19" s="53" t="n">
        <v>46094</v>
      </c>
      <c r="B19" s="54" t="n">
        <v>4</v>
      </c>
      <c r="C19" s="67" t="n">
        <v>20450</v>
      </c>
      <c r="D19" s="67" t="n">
        <v>2.5</v>
      </c>
      <c r="E19" s="55" t="n">
        <v>9450</v>
      </c>
      <c r="F19" s="67" t="n">
        <v>1</v>
      </c>
      <c r="G19" s="67" t="n">
        <v>4250</v>
      </c>
      <c r="H19" s="67" t="n">
        <v>6.5</v>
      </c>
      <c r="I19" s="55" t="n">
        <v>47900</v>
      </c>
      <c r="J19" s="55" t="n">
        <v>1</v>
      </c>
      <c r="K19" s="55" t="n">
        <v>8150</v>
      </c>
      <c r="L19" s="55"/>
      <c r="M19" s="55"/>
      <c r="N19" s="55" t="n">
        <v>19.5</v>
      </c>
      <c r="O19" s="55"/>
      <c r="P19" s="56"/>
      <c r="Q19" s="57" t="n">
        <f aca="false">B19+D19+F19+H19+J19+L19</f>
        <v>15</v>
      </c>
      <c r="R19" s="57" t="n">
        <f aca="false">C19+E19+G19+I19+K19+M19</f>
        <v>90200</v>
      </c>
      <c r="S19" s="69" t="s">
        <v>96</v>
      </c>
      <c r="T19" s="70"/>
      <c r="U19" s="71" t="n">
        <v>20900</v>
      </c>
      <c r="V19" s="71" t="n">
        <v>26.5</v>
      </c>
      <c r="W19" s="72"/>
      <c r="X19" s="119"/>
      <c r="Y19" s="73"/>
      <c r="Z19" s="75"/>
      <c r="AA19" s="49"/>
      <c r="AB19" s="49"/>
      <c r="AC19" s="65" t="n">
        <f aca="false">C19-U19-W19</f>
        <v>-450</v>
      </c>
    </row>
    <row r="20" s="51" customFormat="true" ht="60" hidden="false" customHeight="true" outlineLevel="0" collapsed="false">
      <c r="A20" s="53" t="n">
        <v>46095</v>
      </c>
      <c r="B20" s="54" t="n">
        <v>5</v>
      </c>
      <c r="C20" s="67" t="n">
        <v>20400</v>
      </c>
      <c r="D20" s="67" t="n">
        <v>3</v>
      </c>
      <c r="E20" s="55" t="n">
        <v>22850</v>
      </c>
      <c r="F20" s="67"/>
      <c r="G20" s="67"/>
      <c r="H20" s="67" t="n">
        <v>5.5</v>
      </c>
      <c r="I20" s="55" t="n">
        <v>23100</v>
      </c>
      <c r="J20" s="55" t="n">
        <v>1.5</v>
      </c>
      <c r="K20" s="55" t="n">
        <v>2700</v>
      </c>
      <c r="L20" s="55"/>
      <c r="M20" s="55"/>
      <c r="N20" s="55" t="n">
        <v>18</v>
      </c>
      <c r="O20" s="55"/>
      <c r="P20" s="56"/>
      <c r="Q20" s="57" t="n">
        <f aca="false">B20+D20+F20+H20+J20+L20</f>
        <v>15</v>
      </c>
      <c r="R20" s="57" t="n">
        <f aca="false">C20+E20+G20+I20+K20+M20</f>
        <v>69050</v>
      </c>
      <c r="S20" s="69" t="s">
        <v>96</v>
      </c>
      <c r="T20" s="70"/>
      <c r="U20" s="71" t="n">
        <v>27700</v>
      </c>
      <c r="V20" s="71" t="n">
        <v>39.5</v>
      </c>
      <c r="W20" s="72"/>
      <c r="X20" s="119"/>
      <c r="Y20" s="73"/>
      <c r="Z20" s="75"/>
      <c r="AA20" s="49"/>
      <c r="AB20" s="49"/>
      <c r="AC20" s="65" t="n">
        <f aca="false">C20-U20-W20</f>
        <v>-7300</v>
      </c>
    </row>
    <row r="21" s="51" customFormat="true" ht="60" hidden="false" customHeight="true" outlineLevel="0" collapsed="false">
      <c r="A21" s="53" t="n">
        <v>46096</v>
      </c>
      <c r="B21" s="76" t="n">
        <v>7</v>
      </c>
      <c r="C21" s="67" t="n">
        <v>29750</v>
      </c>
      <c r="D21" s="67" t="n">
        <v>6.5</v>
      </c>
      <c r="E21" s="55" t="n">
        <v>19550</v>
      </c>
      <c r="F21" s="67"/>
      <c r="G21" s="67"/>
      <c r="H21" s="67" t="n">
        <v>3.5</v>
      </c>
      <c r="I21" s="55" t="n">
        <v>15450</v>
      </c>
      <c r="J21" s="55"/>
      <c r="K21" s="55"/>
      <c r="L21" s="55"/>
      <c r="M21" s="55"/>
      <c r="N21" s="55" t="n">
        <v>19</v>
      </c>
      <c r="O21" s="55"/>
      <c r="P21" s="56"/>
      <c r="Q21" s="57" t="n">
        <f aca="false">B21+D21+F21+H21+J21+L21</f>
        <v>17</v>
      </c>
      <c r="R21" s="57" t="n">
        <f aca="false">C21+E21+G21+I21+K21+M21</f>
        <v>64750</v>
      </c>
      <c r="S21" s="69" t="s">
        <v>96</v>
      </c>
      <c r="T21" s="70"/>
      <c r="U21" s="71"/>
      <c r="V21" s="71"/>
      <c r="W21" s="72" t="n">
        <v>32100</v>
      </c>
      <c r="X21" s="119" t="n">
        <v>58</v>
      </c>
      <c r="Y21" s="73"/>
      <c r="Z21" s="75"/>
      <c r="AA21" s="49"/>
      <c r="AB21" s="49"/>
      <c r="AC21" s="65" t="n">
        <f aca="false">C21-U21-W21</f>
        <v>-2350</v>
      </c>
    </row>
    <row r="22" s="51" customFormat="true" ht="60" hidden="false" customHeight="true" outlineLevel="0" collapsed="false">
      <c r="A22" s="53" t="n">
        <v>46097</v>
      </c>
      <c r="B22" s="76" t="n">
        <v>8</v>
      </c>
      <c r="C22" s="67" t="n">
        <v>37150</v>
      </c>
      <c r="D22" s="67" t="n">
        <v>1.5</v>
      </c>
      <c r="E22" s="55" t="n">
        <v>11550</v>
      </c>
      <c r="F22" s="67"/>
      <c r="G22" s="67"/>
      <c r="H22" s="67" t="n">
        <v>5</v>
      </c>
      <c r="I22" s="55" t="n">
        <v>49700</v>
      </c>
      <c r="J22" s="55"/>
      <c r="K22" s="55"/>
      <c r="L22" s="55"/>
      <c r="M22" s="55"/>
      <c r="N22" s="55" t="n">
        <v>22</v>
      </c>
      <c r="O22" s="55" t="n">
        <v>17.5</v>
      </c>
      <c r="P22" s="56" t="n">
        <v>27350</v>
      </c>
      <c r="Q22" s="57" t="n">
        <f aca="false">B22+D22+F22+H22+J22+L22</f>
        <v>14.5</v>
      </c>
      <c r="R22" s="57" t="n">
        <f aca="false">C22+E22+G22+I22+K22+M22</f>
        <v>98400</v>
      </c>
      <c r="S22" s="69" t="s">
        <v>98</v>
      </c>
      <c r="T22" s="70"/>
      <c r="U22" s="71" t="n">
        <v>34300</v>
      </c>
      <c r="V22" s="71" t="n">
        <v>100</v>
      </c>
      <c r="W22" s="72"/>
      <c r="X22" s="119"/>
      <c r="Y22" s="73"/>
      <c r="Z22" s="123" t="s">
        <v>102</v>
      </c>
      <c r="AA22" s="49"/>
      <c r="AB22" s="49"/>
      <c r="AC22" s="65" t="n">
        <f aca="false">C22-U22-W22</f>
        <v>2850</v>
      </c>
    </row>
    <row r="23" s="51" customFormat="true" ht="60" hidden="false" customHeight="true" outlineLevel="0" collapsed="false">
      <c r="A23" s="53" t="n">
        <v>46098</v>
      </c>
      <c r="B23" s="76" t="n">
        <v>4</v>
      </c>
      <c r="C23" s="67" t="n">
        <v>55750</v>
      </c>
      <c r="D23" s="67" t="n">
        <v>3.5</v>
      </c>
      <c r="E23" s="55" t="n">
        <v>13650</v>
      </c>
      <c r="F23" s="67"/>
      <c r="G23" s="67"/>
      <c r="H23" s="67" t="n">
        <v>5</v>
      </c>
      <c r="I23" s="55" t="n">
        <v>42750</v>
      </c>
      <c r="J23" s="55"/>
      <c r="K23" s="55"/>
      <c r="L23" s="55"/>
      <c r="M23" s="55"/>
      <c r="N23" s="55" t="n">
        <v>16</v>
      </c>
      <c r="O23" s="55"/>
      <c r="P23" s="56"/>
      <c r="Q23" s="57" t="n">
        <f aca="false">B23+D23+F23+H23+J23+L23</f>
        <v>12.5</v>
      </c>
      <c r="R23" s="57" t="n">
        <f aca="false">C23+E23+G23+I23+K23+M23</f>
        <v>112150</v>
      </c>
      <c r="S23" s="69" t="s">
        <v>98</v>
      </c>
      <c r="T23" s="70"/>
      <c r="U23" s="71" t="n">
        <v>52850</v>
      </c>
      <c r="V23" s="71" t="n">
        <v>78.5</v>
      </c>
      <c r="W23" s="72"/>
      <c r="X23" s="119"/>
      <c r="Y23" s="73"/>
      <c r="Z23" s="75"/>
      <c r="AA23" s="49"/>
      <c r="AB23" s="49"/>
      <c r="AC23" s="65" t="n">
        <f aca="false">C23-U23-W23</f>
        <v>2900</v>
      </c>
    </row>
    <row r="24" s="51" customFormat="true" ht="60" hidden="false" customHeight="true" outlineLevel="0" collapsed="false">
      <c r="A24" s="53" t="n">
        <v>46099</v>
      </c>
      <c r="B24" s="76" t="n">
        <v>6</v>
      </c>
      <c r="C24" s="67" t="n">
        <v>32300</v>
      </c>
      <c r="D24" s="67" t="n">
        <v>4</v>
      </c>
      <c r="E24" s="55" t="n">
        <v>13050</v>
      </c>
      <c r="F24" s="67"/>
      <c r="G24" s="67"/>
      <c r="H24" s="67" t="n">
        <v>4.5</v>
      </c>
      <c r="I24" s="55" t="n">
        <v>14550</v>
      </c>
      <c r="J24" s="55"/>
      <c r="K24" s="55"/>
      <c r="L24" s="55"/>
      <c r="M24" s="55"/>
      <c r="N24" s="55" t="n">
        <v>17</v>
      </c>
      <c r="O24" s="55"/>
      <c r="P24" s="56"/>
      <c r="Q24" s="57" t="n">
        <f aca="false">B24+D24+F24+H24+J24+L24</f>
        <v>14.5</v>
      </c>
      <c r="R24" s="57" t="n">
        <f aca="false">C24+E24+G24+I24+K24+M24</f>
        <v>59900</v>
      </c>
      <c r="S24" s="69" t="s">
        <v>98</v>
      </c>
      <c r="T24" s="70"/>
      <c r="U24" s="71" t="n">
        <v>27250</v>
      </c>
      <c r="V24" s="71" t="n">
        <v>43</v>
      </c>
      <c r="W24" s="72"/>
      <c r="X24" s="119"/>
      <c r="Y24" s="73"/>
      <c r="Z24" s="75"/>
      <c r="AA24" s="49"/>
      <c r="AB24" s="49"/>
      <c r="AC24" s="65" t="n">
        <f aca="false">C24-U24-W24</f>
        <v>5050</v>
      </c>
    </row>
    <row r="25" s="51" customFormat="true" ht="60" hidden="false" customHeight="true" outlineLevel="0" collapsed="false">
      <c r="A25" s="53" t="n">
        <v>46100</v>
      </c>
      <c r="B25" s="76" t="n">
        <v>6.5</v>
      </c>
      <c r="C25" s="67" t="n">
        <v>23100</v>
      </c>
      <c r="D25" s="67" t="n">
        <v>2.5</v>
      </c>
      <c r="E25" s="55" t="n">
        <v>19550</v>
      </c>
      <c r="F25" s="67"/>
      <c r="G25" s="67"/>
      <c r="H25" s="67" t="n">
        <v>1.5</v>
      </c>
      <c r="I25" s="55" t="n">
        <v>10550</v>
      </c>
      <c r="J25" s="55" t="n">
        <v>1</v>
      </c>
      <c r="K25" s="55" t="n">
        <v>2600</v>
      </c>
      <c r="L25" s="55"/>
      <c r="M25" s="55"/>
      <c r="N25" s="55" t="n">
        <v>13.5</v>
      </c>
      <c r="O25" s="55"/>
      <c r="P25" s="56"/>
      <c r="Q25" s="57" t="n">
        <f aca="false">B25+D25+F25+H25+J25+L25</f>
        <v>11.5</v>
      </c>
      <c r="R25" s="57" t="n">
        <f aca="false">C25+E25+G25+I25+K25+M25</f>
        <v>55800</v>
      </c>
      <c r="S25" s="69" t="s">
        <v>98</v>
      </c>
      <c r="T25" s="70"/>
      <c r="U25" s="71" t="n">
        <v>21350</v>
      </c>
      <c r="V25" s="71" t="n">
        <v>26</v>
      </c>
      <c r="W25" s="72"/>
      <c r="X25" s="119"/>
      <c r="Y25" s="73"/>
      <c r="Z25" s="75"/>
      <c r="AA25" s="49"/>
      <c r="AB25" s="49"/>
      <c r="AC25" s="65" t="n">
        <f aca="false">C25-U25-W25</f>
        <v>1750</v>
      </c>
    </row>
    <row r="26" s="51" customFormat="true" ht="60" hidden="false" customHeight="true" outlineLevel="0" collapsed="false">
      <c r="A26" s="53" t="n">
        <v>46101</v>
      </c>
      <c r="B26" s="76" t="n">
        <v>2.5</v>
      </c>
      <c r="C26" s="67" t="n">
        <v>10800</v>
      </c>
      <c r="D26" s="67" t="n">
        <v>4</v>
      </c>
      <c r="E26" s="55" t="n">
        <v>28850</v>
      </c>
      <c r="F26" s="67"/>
      <c r="G26" s="67"/>
      <c r="H26" s="67" t="n">
        <v>9</v>
      </c>
      <c r="I26" s="55" t="n">
        <v>54800</v>
      </c>
      <c r="J26" s="55"/>
      <c r="K26" s="55"/>
      <c r="L26" s="55"/>
      <c r="M26" s="55"/>
      <c r="N26" s="55" t="n">
        <v>22</v>
      </c>
      <c r="O26" s="55"/>
      <c r="P26" s="56"/>
      <c r="Q26" s="57" t="n">
        <f aca="false">B26+D26+F26+H26+J26+L26</f>
        <v>15.5</v>
      </c>
      <c r="R26" s="57" t="n">
        <f aca="false">C26+E26+G26+I26+K26+M26</f>
        <v>94450</v>
      </c>
      <c r="S26" s="69" t="s">
        <v>96</v>
      </c>
      <c r="T26" s="70"/>
      <c r="U26" s="71" t="n">
        <v>8600</v>
      </c>
      <c r="V26" s="71" t="n">
        <v>16</v>
      </c>
      <c r="W26" s="72"/>
      <c r="X26" s="119"/>
      <c r="Y26" s="73"/>
      <c r="Z26" s="75"/>
      <c r="AA26" s="49"/>
      <c r="AB26" s="49"/>
      <c r="AC26" s="65" t="n">
        <f aca="false">C26-U26-W26</f>
        <v>2200</v>
      </c>
    </row>
    <row r="27" s="51" customFormat="true" ht="60" hidden="false" customHeight="true" outlineLevel="0" collapsed="false">
      <c r="A27" s="53" t="n">
        <v>46102</v>
      </c>
      <c r="B27" s="76" t="n">
        <v>5</v>
      </c>
      <c r="C27" s="67" t="n">
        <v>29950</v>
      </c>
      <c r="D27" s="67" t="n">
        <v>2.5</v>
      </c>
      <c r="E27" s="55" t="n">
        <v>10950</v>
      </c>
      <c r="F27" s="67"/>
      <c r="G27" s="67"/>
      <c r="H27" s="67" t="n">
        <v>9.5</v>
      </c>
      <c r="I27" s="55" t="n">
        <v>62650</v>
      </c>
      <c r="J27" s="55"/>
      <c r="K27" s="55"/>
      <c r="L27" s="55"/>
      <c r="M27" s="55"/>
      <c r="N27" s="55" t="n">
        <v>22.5</v>
      </c>
      <c r="O27" s="55"/>
      <c r="P27" s="56"/>
      <c r="Q27" s="57" t="n">
        <f aca="false">B27+D27+F27+H27+J27+L27</f>
        <v>17</v>
      </c>
      <c r="R27" s="57" t="n">
        <f aca="false">C27+E27+G27+I27+K27+M27</f>
        <v>103550</v>
      </c>
      <c r="S27" s="69" t="s">
        <v>98</v>
      </c>
      <c r="T27" s="70"/>
      <c r="U27" s="71" t="n">
        <v>31050</v>
      </c>
      <c r="V27" s="71" t="n">
        <v>67.5</v>
      </c>
      <c r="W27" s="72"/>
      <c r="X27" s="119"/>
      <c r="Y27" s="73"/>
      <c r="Z27" s="75"/>
      <c r="AA27" s="49"/>
      <c r="AB27" s="49"/>
      <c r="AC27" s="65" t="n">
        <f aca="false">C27-U27-W27</f>
        <v>-1100</v>
      </c>
    </row>
    <row r="28" s="51" customFormat="true" ht="60" hidden="false" customHeight="true" outlineLevel="0" collapsed="false">
      <c r="A28" s="53" t="n">
        <v>46103</v>
      </c>
      <c r="B28" s="76" t="n">
        <v>8</v>
      </c>
      <c r="C28" s="67" t="n">
        <v>58150</v>
      </c>
      <c r="D28" s="67" t="n">
        <v>6.5</v>
      </c>
      <c r="E28" s="55" t="n">
        <v>29750</v>
      </c>
      <c r="F28" s="67"/>
      <c r="G28" s="67"/>
      <c r="H28" s="67" t="n">
        <v>6</v>
      </c>
      <c r="I28" s="55" t="n">
        <v>32400</v>
      </c>
      <c r="J28" s="55"/>
      <c r="K28" s="55"/>
      <c r="L28" s="55"/>
      <c r="M28" s="55"/>
      <c r="N28" s="55" t="n">
        <v>21.5</v>
      </c>
      <c r="O28" s="55"/>
      <c r="P28" s="56"/>
      <c r="Q28" s="57" t="n">
        <f aca="false">B28+D28+F28+H28+J28+L28</f>
        <v>20.5</v>
      </c>
      <c r="R28" s="57" t="n">
        <f aca="false">C28+E28+G28+I28+K28+M28</f>
        <v>120300</v>
      </c>
      <c r="S28" s="69" t="s">
        <v>98</v>
      </c>
      <c r="T28" s="70"/>
      <c r="U28" s="71"/>
      <c r="V28" s="71"/>
      <c r="W28" s="72" t="n">
        <v>44250</v>
      </c>
      <c r="X28" s="119" t="n">
        <v>57</v>
      </c>
      <c r="Y28" s="73"/>
      <c r="Z28" s="64" t="s">
        <v>100</v>
      </c>
      <c r="AA28" s="49"/>
      <c r="AB28" s="49"/>
      <c r="AC28" s="65" t="n">
        <f aca="false">C28-U28-W28</f>
        <v>13900</v>
      </c>
    </row>
    <row r="29" s="51" customFormat="true" ht="60" hidden="false" customHeight="true" outlineLevel="0" collapsed="false">
      <c r="A29" s="53" t="n">
        <v>46104</v>
      </c>
      <c r="B29" s="76" t="n">
        <v>5.5</v>
      </c>
      <c r="C29" s="67" t="n">
        <v>69200</v>
      </c>
      <c r="D29" s="67" t="n">
        <v>2.5</v>
      </c>
      <c r="E29" s="55" t="n">
        <v>11600</v>
      </c>
      <c r="F29" s="67"/>
      <c r="G29" s="67"/>
      <c r="H29" s="67" t="n">
        <v>6</v>
      </c>
      <c r="I29" s="55" t="n">
        <v>26050</v>
      </c>
      <c r="J29" s="55"/>
      <c r="K29" s="55"/>
      <c r="L29" s="55"/>
      <c r="M29" s="55"/>
      <c r="N29" s="55" t="n">
        <v>30.5</v>
      </c>
      <c r="O29" s="55"/>
      <c r="P29" s="56"/>
      <c r="Q29" s="57" t="n">
        <f aca="false">B29+D29+F29+H29+J29+L29</f>
        <v>14</v>
      </c>
      <c r="R29" s="57" t="n">
        <f aca="false">C29+E29+G29+I29+K29+M29</f>
        <v>106850</v>
      </c>
      <c r="S29" s="69" t="s">
        <v>96</v>
      </c>
      <c r="T29" s="70"/>
      <c r="U29" s="71" t="n">
        <v>67300</v>
      </c>
      <c r="V29" s="71" t="n">
        <v>83.5</v>
      </c>
      <c r="W29" s="72"/>
      <c r="X29" s="119"/>
      <c r="Y29" s="73"/>
      <c r="Z29" s="75"/>
      <c r="AA29" s="49"/>
      <c r="AB29" s="49"/>
      <c r="AC29" s="65" t="n">
        <f aca="false">C29-U29-W29</f>
        <v>1900</v>
      </c>
    </row>
    <row r="30" s="51" customFormat="true" ht="60" hidden="false" customHeight="true" outlineLevel="0" collapsed="false">
      <c r="A30" s="53" t="n">
        <v>46105</v>
      </c>
      <c r="B30" s="76" t="n">
        <v>2</v>
      </c>
      <c r="C30" s="67" t="n">
        <v>11150</v>
      </c>
      <c r="D30" s="67" t="n">
        <v>3</v>
      </c>
      <c r="E30" s="55" t="n">
        <v>8850</v>
      </c>
      <c r="F30" s="67"/>
      <c r="G30" s="67"/>
      <c r="H30" s="67" t="n">
        <v>5</v>
      </c>
      <c r="I30" s="55" t="n">
        <v>43100</v>
      </c>
      <c r="J30" s="55"/>
      <c r="K30" s="55"/>
      <c r="L30" s="55"/>
      <c r="M30" s="55"/>
      <c r="N30" s="55" t="n">
        <v>14</v>
      </c>
      <c r="O30" s="55"/>
      <c r="P30" s="56"/>
      <c r="Q30" s="57" t="n">
        <f aca="false">B30+D30+F30+H30+J30+L30</f>
        <v>10</v>
      </c>
      <c r="R30" s="57" t="n">
        <f aca="false">C30+E30+G30+I30+K30+M30</f>
        <v>63100</v>
      </c>
      <c r="S30" s="69" t="s">
        <v>98</v>
      </c>
      <c r="T30" s="70"/>
      <c r="U30" s="71" t="n">
        <v>8100</v>
      </c>
      <c r="V30" s="71" t="n">
        <v>23</v>
      </c>
      <c r="W30" s="72"/>
      <c r="X30" s="119"/>
      <c r="Y30" s="73"/>
      <c r="Z30" s="75"/>
      <c r="AA30" s="49"/>
      <c r="AB30" s="49"/>
      <c r="AC30" s="65" t="n">
        <f aca="false">C30-U30-W30</f>
        <v>3050</v>
      </c>
    </row>
    <row r="31" s="51" customFormat="true" ht="60" hidden="false" customHeight="true" outlineLevel="0" collapsed="false">
      <c r="A31" s="53" t="n">
        <v>46106</v>
      </c>
      <c r="B31" s="76" t="n">
        <v>3</v>
      </c>
      <c r="C31" s="67" t="n">
        <v>16700</v>
      </c>
      <c r="D31" s="67" t="n">
        <v>1</v>
      </c>
      <c r="E31" s="55" t="n">
        <v>4650</v>
      </c>
      <c r="F31" s="67"/>
      <c r="G31" s="67"/>
      <c r="H31" s="67" t="n">
        <v>6</v>
      </c>
      <c r="I31" s="55" t="n">
        <v>38600</v>
      </c>
      <c r="J31" s="55" t="n">
        <v>1</v>
      </c>
      <c r="K31" s="55" t="n">
        <v>16450</v>
      </c>
      <c r="L31" s="55"/>
      <c r="M31" s="55"/>
      <c r="N31" s="55" t="n">
        <v>29</v>
      </c>
      <c r="O31" s="55" t="n">
        <v>1</v>
      </c>
      <c r="P31" s="56" t="n">
        <v>3950</v>
      </c>
      <c r="Q31" s="57" t="n">
        <f aca="false">B31+D31+F31+H31+J31+L31</f>
        <v>11</v>
      </c>
      <c r="R31" s="57" t="n">
        <f aca="false">C31+E31+G31+I31+K31+M31</f>
        <v>76400</v>
      </c>
      <c r="S31" s="69" t="s">
        <v>98</v>
      </c>
      <c r="T31" s="70"/>
      <c r="U31" s="71" t="n">
        <v>12400</v>
      </c>
      <c r="V31" s="71" t="n">
        <v>25</v>
      </c>
      <c r="W31" s="72"/>
      <c r="X31" s="119"/>
      <c r="Y31" s="73"/>
      <c r="Z31" s="75"/>
      <c r="AA31" s="49"/>
      <c r="AB31" s="49"/>
      <c r="AC31" s="65" t="n">
        <f aca="false">C31-U31-W31</f>
        <v>4300</v>
      </c>
    </row>
    <row r="32" s="51" customFormat="true" ht="60" hidden="false" customHeight="true" outlineLevel="0" collapsed="false">
      <c r="A32" s="53" t="n">
        <v>46107</v>
      </c>
      <c r="B32" s="76" t="n">
        <v>4</v>
      </c>
      <c r="C32" s="67" t="n">
        <v>24600</v>
      </c>
      <c r="D32" s="67" t="n">
        <v>2.5</v>
      </c>
      <c r="E32" s="55" t="n">
        <v>13500</v>
      </c>
      <c r="F32" s="67"/>
      <c r="G32" s="67"/>
      <c r="H32" s="67" t="n">
        <v>6.5</v>
      </c>
      <c r="I32" s="55" t="n">
        <v>57400</v>
      </c>
      <c r="J32" s="55"/>
      <c r="K32" s="55"/>
      <c r="L32" s="55"/>
      <c r="M32" s="55"/>
      <c r="N32" s="55" t="n">
        <v>14</v>
      </c>
      <c r="O32" s="55" t="n">
        <v>1</v>
      </c>
      <c r="P32" s="56" t="n">
        <v>6150</v>
      </c>
      <c r="Q32" s="57" t="n">
        <f aca="false">B32+D32+F32+H32+J32+L32</f>
        <v>13</v>
      </c>
      <c r="R32" s="57" t="n">
        <f aca="false">C32+E32+G32+I32+K32+M32</f>
        <v>95500</v>
      </c>
      <c r="S32" s="69" t="s">
        <v>96</v>
      </c>
      <c r="T32" s="70"/>
      <c r="U32" s="71" t="n">
        <v>22250</v>
      </c>
      <c r="V32" s="71" t="n">
        <v>32</v>
      </c>
      <c r="W32" s="72"/>
      <c r="X32" s="119"/>
      <c r="Y32" s="73"/>
      <c r="Z32" s="75"/>
      <c r="AA32" s="49"/>
      <c r="AB32" s="49"/>
      <c r="AC32" s="65" t="n">
        <f aca="false">C32-U32-W32</f>
        <v>2350</v>
      </c>
    </row>
    <row r="33" s="51" customFormat="true" ht="60" hidden="false" customHeight="true" outlineLevel="0" collapsed="false">
      <c r="A33" s="53" t="n">
        <v>46108</v>
      </c>
      <c r="B33" s="76" t="n">
        <v>5.5</v>
      </c>
      <c r="C33" s="67" t="n">
        <v>24300</v>
      </c>
      <c r="D33" s="67"/>
      <c r="E33" s="55"/>
      <c r="F33" s="67"/>
      <c r="G33" s="67"/>
      <c r="H33" s="67" t="n">
        <v>5.5</v>
      </c>
      <c r="I33" s="55" t="n">
        <v>30350</v>
      </c>
      <c r="J33" s="55" t="n">
        <v>1</v>
      </c>
      <c r="K33" s="55" t="n">
        <v>6250</v>
      </c>
      <c r="L33" s="55"/>
      <c r="M33" s="55"/>
      <c r="N33" s="55" t="n">
        <v>16.5</v>
      </c>
      <c r="O33" s="55" t="n">
        <v>1</v>
      </c>
      <c r="P33" s="56" t="n">
        <v>2850</v>
      </c>
      <c r="Q33" s="57" t="n">
        <f aca="false">B33+D33+F33+H33+J33+L33</f>
        <v>12</v>
      </c>
      <c r="R33" s="57" t="n">
        <f aca="false">C33+E33+G33+I33+K33+M33</f>
        <v>60900</v>
      </c>
      <c r="S33" s="69" t="s">
        <v>96</v>
      </c>
      <c r="T33" s="70"/>
      <c r="U33" s="71" t="n">
        <v>23900</v>
      </c>
      <c r="V33" s="71" t="n">
        <v>32</v>
      </c>
      <c r="W33" s="72"/>
      <c r="X33" s="119"/>
      <c r="Y33" s="73"/>
      <c r="Z33" s="75"/>
      <c r="AA33" s="49"/>
      <c r="AB33" s="49"/>
      <c r="AC33" s="65" t="n">
        <f aca="false">C33-U33-W33</f>
        <v>400</v>
      </c>
    </row>
    <row r="34" s="51" customFormat="true" ht="60" hidden="false" customHeight="true" outlineLevel="0" collapsed="false">
      <c r="A34" s="53" t="n">
        <v>46109</v>
      </c>
      <c r="B34" s="76" t="n">
        <v>8</v>
      </c>
      <c r="C34" s="67" t="n">
        <v>39900</v>
      </c>
      <c r="D34" s="67" t="n">
        <v>3</v>
      </c>
      <c r="E34" s="55" t="n">
        <v>16950</v>
      </c>
      <c r="F34" s="67"/>
      <c r="G34" s="67"/>
      <c r="H34" s="67" t="n">
        <v>6</v>
      </c>
      <c r="I34" s="55" t="n">
        <v>34700</v>
      </c>
      <c r="J34" s="55"/>
      <c r="K34" s="55"/>
      <c r="L34" s="55"/>
      <c r="M34" s="55"/>
      <c r="N34" s="55" t="n">
        <v>18</v>
      </c>
      <c r="O34" s="55"/>
      <c r="P34" s="56"/>
      <c r="Q34" s="57" t="n">
        <f aca="false">B34+D34+F34+H34+J34+L34</f>
        <v>17</v>
      </c>
      <c r="R34" s="57" t="n">
        <f aca="false">C34+E34+G34+I34+K34+M34</f>
        <v>91550</v>
      </c>
      <c r="S34" s="69" t="s">
        <v>96</v>
      </c>
      <c r="T34" s="70"/>
      <c r="U34" s="71" t="n">
        <v>60050</v>
      </c>
      <c r="V34" s="71" t="n">
        <v>59</v>
      </c>
      <c r="W34" s="72"/>
      <c r="X34" s="119"/>
      <c r="Y34" s="73"/>
      <c r="Z34" s="75"/>
      <c r="AA34" s="49"/>
      <c r="AB34" s="49"/>
      <c r="AC34" s="65" t="n">
        <f aca="false">C34-U34-W34</f>
        <v>-20150</v>
      </c>
    </row>
    <row r="35" s="51" customFormat="true" ht="60" hidden="false" customHeight="true" outlineLevel="0" collapsed="false">
      <c r="A35" s="53" t="n">
        <v>46110</v>
      </c>
      <c r="B35" s="76" t="n">
        <v>10.5</v>
      </c>
      <c r="C35" s="67" t="n">
        <v>65900</v>
      </c>
      <c r="D35" s="67" t="n">
        <v>4</v>
      </c>
      <c r="E35" s="55" t="n">
        <v>17950</v>
      </c>
      <c r="F35" s="67"/>
      <c r="G35" s="67"/>
      <c r="H35" s="67" t="n">
        <v>15</v>
      </c>
      <c r="I35" s="55" t="n">
        <v>72100</v>
      </c>
      <c r="J35" s="55" t="n">
        <v>2</v>
      </c>
      <c r="K35" s="55" t="n">
        <v>8550</v>
      </c>
      <c r="L35" s="55"/>
      <c r="M35" s="55"/>
      <c r="N35" s="55" t="n">
        <v>36.5</v>
      </c>
      <c r="O35" s="55" t="n">
        <v>1</v>
      </c>
      <c r="P35" s="56" t="n">
        <v>2450</v>
      </c>
      <c r="Q35" s="57" t="n">
        <f aca="false">B35+D35+F35+H35+J35+L35</f>
        <v>31.5</v>
      </c>
      <c r="R35" s="57" t="n">
        <f aca="false">C35+E35+G35+I35+K35+M35</f>
        <v>164500</v>
      </c>
      <c r="S35" s="69" t="s">
        <v>96</v>
      </c>
      <c r="T35" s="70"/>
      <c r="U35" s="71"/>
      <c r="V35" s="71"/>
      <c r="W35" s="72" t="n">
        <v>75200</v>
      </c>
      <c r="X35" s="119" t="n">
        <v>82</v>
      </c>
      <c r="Y35" s="73"/>
      <c r="Z35" s="75"/>
      <c r="AA35" s="49"/>
      <c r="AB35" s="49"/>
      <c r="AC35" s="65" t="n">
        <f aca="false">C35-U35-W35</f>
        <v>-9300</v>
      </c>
    </row>
    <row r="36" s="51" customFormat="true" ht="60" hidden="false" customHeight="true" outlineLevel="0" collapsed="false">
      <c r="A36" s="53" t="n">
        <v>46111</v>
      </c>
      <c r="B36" s="76" t="n">
        <v>2</v>
      </c>
      <c r="C36" s="67" t="n">
        <v>10950</v>
      </c>
      <c r="D36" s="67" t="n">
        <v>1</v>
      </c>
      <c r="E36" s="55" t="n">
        <v>4600</v>
      </c>
      <c r="F36" s="67"/>
      <c r="G36" s="67"/>
      <c r="H36" s="67" t="n">
        <v>3.5</v>
      </c>
      <c r="I36" s="55" t="n">
        <v>10850</v>
      </c>
      <c r="J36" s="55"/>
      <c r="K36" s="55"/>
      <c r="L36" s="55"/>
      <c r="M36" s="55"/>
      <c r="N36" s="55" t="n">
        <v>9.5</v>
      </c>
      <c r="O36" s="55"/>
      <c r="P36" s="56"/>
      <c r="Q36" s="57" t="n">
        <f aca="false">B36+D36+F36+H36+J36+L36</f>
        <v>6.5</v>
      </c>
      <c r="R36" s="57" t="n">
        <f aca="false">C36+E36+G36+I36+K36+M36</f>
        <v>26400</v>
      </c>
      <c r="S36" s="69" t="s">
        <v>98</v>
      </c>
      <c r="T36" s="70"/>
      <c r="U36" s="71" t="n">
        <v>11100</v>
      </c>
      <c r="V36" s="71" t="n">
        <v>25</v>
      </c>
      <c r="W36" s="72"/>
      <c r="X36" s="119"/>
      <c r="Y36" s="73"/>
      <c r="Z36" s="75"/>
      <c r="AA36" s="49"/>
      <c r="AB36" s="49"/>
      <c r="AC36" s="65" t="n">
        <f aca="false">C36-U36-W36</f>
        <v>-150</v>
      </c>
    </row>
    <row r="37" s="51" customFormat="true" ht="60" hidden="false" customHeight="true" outlineLevel="0" collapsed="false">
      <c r="A37" s="53" t="n">
        <v>46112</v>
      </c>
      <c r="B37" s="76" t="n">
        <v>3.5</v>
      </c>
      <c r="C37" s="67" t="n">
        <v>24850</v>
      </c>
      <c r="D37" s="67" t="n">
        <v>3.5</v>
      </c>
      <c r="E37" s="55" t="n">
        <v>18300</v>
      </c>
      <c r="F37" s="67"/>
      <c r="G37" s="67"/>
      <c r="H37" s="67" t="n">
        <v>4.5</v>
      </c>
      <c r="I37" s="55" t="n">
        <v>20100</v>
      </c>
      <c r="J37" s="55"/>
      <c r="K37" s="55"/>
      <c r="L37" s="55"/>
      <c r="M37" s="55"/>
      <c r="N37" s="55" t="n">
        <v>14</v>
      </c>
      <c r="O37" s="55"/>
      <c r="P37" s="56"/>
      <c r="Q37" s="57" t="n">
        <f aca="false">B37+D37+F37+H37+J37+L37</f>
        <v>11.5</v>
      </c>
      <c r="R37" s="57" t="n">
        <f aca="false">C37+E37+G37+I37+K37+M37</f>
        <v>63250</v>
      </c>
      <c r="S37" s="69" t="s">
        <v>98</v>
      </c>
      <c r="T37" s="70"/>
      <c r="U37" s="71" t="n">
        <v>20650</v>
      </c>
      <c r="V37" s="71" t="n">
        <v>29.5</v>
      </c>
      <c r="W37" s="72"/>
      <c r="X37" s="119"/>
      <c r="Y37" s="73"/>
      <c r="Z37" s="64" t="s">
        <v>103</v>
      </c>
      <c r="AA37" s="49"/>
      <c r="AB37" s="49"/>
      <c r="AC37" s="65" t="n">
        <f aca="false">C37-U37-W37</f>
        <v>4200</v>
      </c>
    </row>
    <row r="38" s="84" customFormat="true" ht="96.75" hidden="false" customHeight="true" outlineLevel="0" collapsed="false">
      <c r="A38" s="78"/>
      <c r="B38" s="79" t="n">
        <f aca="false">SUM(B7:B37)</f>
        <v>185.5</v>
      </c>
      <c r="C38" s="79" t="n">
        <f aca="false">SUM(C7:C37)</f>
        <v>1103300</v>
      </c>
      <c r="D38" s="79" t="n">
        <f aca="false">SUM(D7:D37)</f>
        <v>93.5</v>
      </c>
      <c r="E38" s="79" t="n">
        <f aca="false">SUM(E7:E37)</f>
        <v>527800</v>
      </c>
      <c r="F38" s="79" t="n">
        <f aca="false">SUM(F7:F37)</f>
        <v>4</v>
      </c>
      <c r="G38" s="79" t="n">
        <f aca="false">SUM(G7:G37)</f>
        <v>24900</v>
      </c>
      <c r="H38" s="79" t="n">
        <f aca="false">SUM(H7:H37)</f>
        <v>214.5</v>
      </c>
      <c r="I38" s="79" t="n">
        <f aca="false">SUM(I7:I37)</f>
        <v>1289450</v>
      </c>
      <c r="J38" s="79" t="n">
        <f aca="false">SUM(J7:J37)</f>
        <v>13.5</v>
      </c>
      <c r="K38" s="79" t="n">
        <f aca="false">SUM(K7:K37)</f>
        <v>83400</v>
      </c>
      <c r="L38" s="79" t="n">
        <f aca="false">SUM(L7:L37)</f>
        <v>0</v>
      </c>
      <c r="M38" s="79" t="n">
        <f aca="false">SUM(M7:M37)</f>
        <v>0</v>
      </c>
      <c r="N38" s="79" t="n">
        <f aca="false">SUM(N7:N37)</f>
        <v>669</v>
      </c>
      <c r="O38" s="79" t="n">
        <f aca="false">SUM(O7:O37)</f>
        <v>25.5</v>
      </c>
      <c r="P38" s="79" t="n">
        <f aca="false">SUM(P7:P37)</f>
        <v>64950</v>
      </c>
      <c r="Q38" s="79" t="n">
        <f aca="false">SUM(Q7:Q37)</f>
        <v>511</v>
      </c>
      <c r="R38" s="79" t="n">
        <f aca="false">SUM(R7:R37)</f>
        <v>3028850</v>
      </c>
      <c r="S38" s="79" t="n">
        <f aca="false">SUM(S7:S37)</f>
        <v>0</v>
      </c>
      <c r="T38" s="79" t="n">
        <f aca="false">SUM(T7:T37)</f>
        <v>0</v>
      </c>
      <c r="U38" s="79" t="n">
        <f aca="false">SUM(U7:U37)</f>
        <v>834000</v>
      </c>
      <c r="V38" s="79" t="n">
        <f aca="false">SUM(V7:V37)</f>
        <v>1370.5</v>
      </c>
      <c r="W38" s="79" t="n">
        <f aca="false">SUM(W7:W37)</f>
        <v>221750</v>
      </c>
      <c r="X38" s="79" t="n">
        <f aca="false">SUM(X7:X37)</f>
        <v>267.5</v>
      </c>
      <c r="Y38" s="79" t="s">
        <v>39</v>
      </c>
      <c r="Z38" s="80"/>
      <c r="AA38" s="81"/>
      <c r="AB38" s="82"/>
      <c r="AC38" s="124" t="n">
        <f aca="false">C37+C38-U38-W38</f>
        <v>72400</v>
      </c>
    </row>
    <row r="39" s="96" customFormat="true" ht="109.5" hidden="false" customHeight="true" outlineLevel="0" collapsed="false">
      <c r="A39" s="85"/>
      <c r="B39" s="86"/>
      <c r="C39" s="86"/>
      <c r="D39" s="86"/>
      <c r="E39" s="86"/>
      <c r="F39" s="86"/>
      <c r="G39" s="86"/>
      <c r="H39" s="87" t="s">
        <v>40</v>
      </c>
      <c r="I39" s="86"/>
      <c r="J39" s="86"/>
      <c r="K39" s="86"/>
      <c r="L39" s="86"/>
      <c r="M39" s="86"/>
      <c r="N39" s="86"/>
      <c r="O39" s="86"/>
      <c r="P39" s="87" t="s">
        <v>40</v>
      </c>
      <c r="Q39" s="88" t="n">
        <f aca="false">SUM(Q7:Q38)</f>
        <v>1022</v>
      </c>
      <c r="R39" s="89" t="n">
        <f aca="false">SUM(R7:R38)</f>
        <v>6057700</v>
      </c>
      <c r="S39" s="90"/>
      <c r="T39" s="91"/>
      <c r="U39" s="92" t="n">
        <f aca="false">U38+V38</f>
        <v>835370.5</v>
      </c>
      <c r="V39" s="92"/>
      <c r="W39" s="92"/>
      <c r="X39" s="121"/>
      <c r="Y39" s="93" t="n">
        <f aca="false">C38-U38-V38</f>
        <v>267929.5</v>
      </c>
      <c r="Z39" s="94"/>
      <c r="AA39" s="95"/>
      <c r="AB39" s="49"/>
      <c r="AC39" s="65"/>
    </row>
    <row r="40" s="51" customFormat="true" ht="30.75" hidden="false" customHeight="true" outlineLevel="0" collapsed="false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49"/>
      <c r="AB40" s="49"/>
      <c r="AC40" s="3"/>
    </row>
    <row r="41" s="51" customFormat="true" ht="60" hidden="false" customHeight="true" outlineLevel="0" collapsed="false">
      <c r="A41" s="97"/>
      <c r="B41" s="97"/>
      <c r="C41" s="98"/>
      <c r="D41" s="98" t="s">
        <v>41</v>
      </c>
      <c r="E41" s="98"/>
      <c r="F41" s="98"/>
      <c r="G41" s="98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9" t="n">
        <f aca="false">R38-R39</f>
        <v>-3028850</v>
      </c>
      <c r="S41" s="97"/>
      <c r="T41" s="97"/>
      <c r="U41" s="97"/>
      <c r="V41" s="97"/>
      <c r="W41" s="97"/>
      <c r="X41" s="97"/>
      <c r="Y41" s="97"/>
      <c r="Z41" s="97"/>
      <c r="AA41" s="49"/>
      <c r="AB41" s="49"/>
      <c r="AC41" s="3"/>
    </row>
    <row r="42" customFormat="false" ht="24" hidden="false" customHeight="false" outlineLevel="0" collapsed="false">
      <c r="AA42" s="2"/>
      <c r="AB42" s="2"/>
      <c r="AC42" s="3"/>
      <c r="AD42" s="4"/>
      <c r="AE42" s="4"/>
    </row>
    <row r="43" customFormat="false" ht="24" hidden="false" customHeight="false" outlineLevel="0" collapsed="false">
      <c r="AA43" s="2"/>
      <c r="AB43" s="2"/>
      <c r="AC43" s="3"/>
      <c r="AD43" s="4"/>
      <c r="AE43" s="4"/>
    </row>
    <row r="44" customFormat="false" ht="24" hidden="false" customHeight="false" outlineLevel="0" collapsed="false">
      <c r="AA44" s="2"/>
      <c r="AB44" s="2"/>
      <c r="AC44" s="3"/>
      <c r="AD44" s="4"/>
      <c r="AE44" s="4"/>
    </row>
    <row r="45" customFormat="false" ht="24" hidden="false" customHeight="false" outlineLevel="0" collapsed="false">
      <c r="AA45" s="2"/>
      <c r="AB45" s="2"/>
      <c r="AC45" s="3"/>
      <c r="AD45" s="4"/>
      <c r="AE45" s="4"/>
    </row>
    <row r="46" customFormat="false" ht="24" hidden="false" customHeight="false" outlineLevel="0" collapsed="false">
      <c r="AA46" s="2"/>
      <c r="AB46" s="2"/>
      <c r="AC46" s="3"/>
      <c r="AD46" s="4"/>
      <c r="AE46" s="4"/>
    </row>
    <row r="47" customFormat="false" ht="24" hidden="false" customHeight="false" outlineLevel="0" collapsed="false">
      <c r="AA47" s="2"/>
      <c r="AB47" s="2"/>
      <c r="AC47" s="3"/>
      <c r="AD47" s="4"/>
      <c r="AE47" s="4"/>
    </row>
    <row r="48" customFormat="false" ht="24" hidden="false" customHeight="false" outlineLevel="0" collapsed="false">
      <c r="AA48" s="2"/>
      <c r="AB48" s="2"/>
      <c r="AC48" s="3"/>
      <c r="AD48" s="4"/>
      <c r="AE48" s="4"/>
    </row>
    <row r="49" customFormat="false" ht="24" hidden="false" customHeight="false" outlineLevel="0" collapsed="false">
      <c r="AA49" s="2"/>
      <c r="AB49" s="2"/>
      <c r="AC49" s="3"/>
      <c r="AD49" s="4"/>
      <c r="AE49" s="4"/>
    </row>
    <row r="50" customFormat="false" ht="24" hidden="false" customHeight="false" outlineLevel="0" collapsed="false">
      <c r="AA50" s="2"/>
      <c r="AB50" s="2"/>
      <c r="AC50" s="3"/>
      <c r="AD50" s="4"/>
      <c r="AE50" s="4"/>
    </row>
    <row r="51" customFormat="false" ht="24" hidden="false" customHeight="false" outlineLevel="0" collapsed="false">
      <c r="AA51" s="2"/>
      <c r="AB51" s="2"/>
      <c r="AC51" s="3"/>
      <c r="AD51" s="4"/>
      <c r="AE51" s="4"/>
    </row>
    <row r="52" customFormat="false" ht="24" hidden="false" customHeight="false" outlineLevel="0" collapsed="false">
      <c r="AA52" s="2"/>
      <c r="AB52" s="2"/>
      <c r="AC52" s="3"/>
      <c r="AD52" s="4"/>
      <c r="AE52" s="4"/>
    </row>
    <row r="53" customFormat="false" ht="24" hidden="false" customHeight="false" outlineLevel="0" collapsed="false">
      <c r="AA53" s="2"/>
      <c r="AB53" s="2"/>
      <c r="AC53" s="3"/>
      <c r="AD53" s="4"/>
      <c r="AE53" s="4"/>
    </row>
    <row r="54" customFormat="false" ht="24" hidden="false" customHeight="false" outlineLevel="0" collapsed="false">
      <c r="AA54" s="2"/>
      <c r="AB54" s="2"/>
      <c r="AC54" s="3"/>
      <c r="AD54" s="4"/>
      <c r="AE54" s="4"/>
    </row>
    <row r="55" customFormat="false" ht="24" hidden="false" customHeight="false" outlineLevel="0" collapsed="false">
      <c r="AA55" s="2"/>
      <c r="AB55" s="2"/>
      <c r="AC55" s="3"/>
      <c r="AD55" s="4"/>
      <c r="AE55" s="4"/>
    </row>
    <row r="56" customFormat="false" ht="24" hidden="false" customHeight="false" outlineLevel="0" collapsed="false">
      <c r="AA56" s="2"/>
      <c r="AB56" s="2"/>
      <c r="AC56" s="3"/>
      <c r="AD56" s="4"/>
      <c r="AE56" s="4"/>
    </row>
    <row r="57" customFormat="false" ht="24" hidden="false" customHeight="false" outlineLevel="0" collapsed="false">
      <c r="AA57" s="2"/>
      <c r="AB57" s="2"/>
      <c r="AC57" s="3"/>
      <c r="AD57" s="4"/>
      <c r="AE57" s="4"/>
    </row>
    <row r="58" customFormat="false" ht="24" hidden="false" customHeight="false" outlineLevel="0" collapsed="false">
      <c r="AA58" s="2"/>
      <c r="AB58" s="2"/>
      <c r="AC58" s="3"/>
      <c r="AD58" s="4"/>
      <c r="AE58" s="4"/>
    </row>
    <row r="59" customFormat="false" ht="24" hidden="false" customHeight="false" outlineLevel="0" collapsed="false">
      <c r="AA59" s="2"/>
      <c r="AB59" s="2"/>
      <c r="AC59" s="3"/>
      <c r="AD59" s="4"/>
      <c r="AE59" s="4"/>
    </row>
    <row r="60" customFormat="false" ht="24" hidden="false" customHeight="false" outlineLevel="0" collapsed="false">
      <c r="AA60" s="2"/>
      <c r="AB60" s="2"/>
      <c r="AC60" s="3"/>
      <c r="AD60" s="4"/>
      <c r="AE60" s="4"/>
    </row>
    <row r="61" customFormat="false" ht="24" hidden="false" customHeight="false" outlineLevel="0" collapsed="false">
      <c r="AA61" s="2"/>
      <c r="AB61" s="2"/>
      <c r="AC61" s="3"/>
      <c r="AD61" s="4"/>
      <c r="AE61" s="4"/>
    </row>
    <row r="62" customFormat="false" ht="24" hidden="false" customHeight="false" outlineLevel="0" collapsed="false">
      <c r="AA62" s="2"/>
      <c r="AB62" s="2"/>
      <c r="AC62" s="3"/>
      <c r="AD62" s="4"/>
      <c r="AE62" s="4"/>
    </row>
    <row r="63" customFormat="false" ht="24" hidden="false" customHeight="false" outlineLevel="0" collapsed="false">
      <c r="AA63" s="2"/>
      <c r="AB63" s="2"/>
      <c r="AC63" s="3"/>
      <c r="AD63" s="4"/>
      <c r="AE63" s="4"/>
    </row>
    <row r="64" customFormat="false" ht="24" hidden="false" customHeight="false" outlineLevel="0" collapsed="false">
      <c r="AA64" s="2"/>
      <c r="AB64" s="2"/>
      <c r="AC64" s="3"/>
      <c r="AD64" s="4"/>
      <c r="AE64" s="4"/>
    </row>
    <row r="65" customFormat="false" ht="24" hidden="false" customHeight="false" outlineLevel="0" collapsed="false">
      <c r="AA65" s="2"/>
      <c r="AB65" s="2"/>
      <c r="AC65" s="3"/>
      <c r="AD65" s="4"/>
      <c r="AE65" s="4"/>
    </row>
    <row r="66" customFormat="false" ht="24" hidden="false" customHeight="false" outlineLevel="0" collapsed="false">
      <c r="AA66" s="2"/>
      <c r="AB66" s="2"/>
      <c r="AC66" s="3"/>
      <c r="AD66" s="4"/>
      <c r="AE66" s="4"/>
    </row>
    <row r="67" customFormat="false" ht="24" hidden="false" customHeight="false" outlineLevel="0" collapsed="false">
      <c r="AA67" s="2"/>
      <c r="AB67" s="2"/>
      <c r="AC67" s="3"/>
      <c r="AD67" s="4"/>
      <c r="AE67" s="4"/>
    </row>
    <row r="68" customFormat="false" ht="24" hidden="false" customHeight="false" outlineLevel="0" collapsed="false">
      <c r="AA68" s="2"/>
      <c r="AB68" s="2"/>
      <c r="AC68" s="3"/>
      <c r="AD68" s="4"/>
      <c r="AE68" s="4"/>
    </row>
    <row r="69" customFormat="false" ht="24" hidden="false" customHeight="false" outlineLevel="0" collapsed="false">
      <c r="AA69" s="2"/>
      <c r="AB69" s="2"/>
      <c r="AC69" s="3"/>
      <c r="AD69" s="4"/>
      <c r="AE69" s="4"/>
    </row>
    <row r="70" customFormat="false" ht="24" hidden="false" customHeight="false" outlineLevel="0" collapsed="false">
      <c r="AA70" s="2"/>
      <c r="AB70" s="2"/>
      <c r="AC70" s="3"/>
      <c r="AD70" s="4"/>
      <c r="AE70" s="4"/>
    </row>
    <row r="71" customFormat="false" ht="24" hidden="false" customHeight="false" outlineLevel="0" collapsed="false">
      <c r="AA71" s="2"/>
      <c r="AB71" s="2"/>
      <c r="AC71" s="3"/>
      <c r="AD71" s="4"/>
      <c r="AE71" s="4"/>
    </row>
    <row r="72" customFormat="false" ht="24" hidden="false" customHeight="false" outlineLevel="0" collapsed="false">
      <c r="AA72" s="2"/>
      <c r="AB72" s="2"/>
      <c r="AC72" s="3"/>
      <c r="AD72" s="4"/>
      <c r="AE72" s="4"/>
    </row>
    <row r="73" customFormat="false" ht="24" hidden="false" customHeight="false" outlineLevel="0" collapsed="false">
      <c r="AA73" s="2"/>
      <c r="AB73" s="2"/>
      <c r="AC73" s="3"/>
      <c r="AD73" s="4"/>
      <c r="AE73" s="4"/>
    </row>
    <row r="74" customFormat="false" ht="24" hidden="false" customHeight="false" outlineLevel="0" collapsed="false">
      <c r="AA74" s="2"/>
      <c r="AB74" s="2"/>
      <c r="AC74" s="3"/>
      <c r="AD74" s="4"/>
      <c r="AE74" s="4"/>
    </row>
    <row r="75" customFormat="false" ht="24" hidden="false" customHeight="false" outlineLevel="0" collapsed="false">
      <c r="AA75" s="2"/>
      <c r="AB75" s="2"/>
      <c r="AC75" s="3"/>
      <c r="AD75" s="4"/>
      <c r="AE75" s="4"/>
    </row>
    <row r="76" customFormat="false" ht="24" hidden="false" customHeight="false" outlineLevel="0" collapsed="false">
      <c r="AA76" s="2"/>
      <c r="AB76" s="2"/>
      <c r="AC76" s="3"/>
      <c r="AD76" s="4"/>
      <c r="AE76" s="4"/>
    </row>
    <row r="77" customFormat="false" ht="24" hidden="false" customHeight="false" outlineLevel="0" collapsed="false">
      <c r="AA77" s="2"/>
      <c r="AB77" s="2"/>
      <c r="AC77" s="3"/>
      <c r="AD77" s="4"/>
      <c r="AE77" s="4"/>
    </row>
    <row r="78" customFormat="false" ht="24" hidden="false" customHeight="false" outlineLevel="0" collapsed="false">
      <c r="AA78" s="2"/>
      <c r="AB78" s="2"/>
      <c r="AC78" s="3"/>
      <c r="AD78" s="4"/>
      <c r="AE78" s="4"/>
    </row>
    <row r="79" customFormat="false" ht="24" hidden="false" customHeight="false" outlineLevel="0" collapsed="false">
      <c r="AA79" s="2"/>
      <c r="AB79" s="2"/>
      <c r="AC79" s="3"/>
      <c r="AD79" s="4"/>
      <c r="AE79" s="4"/>
    </row>
    <row r="80" customFormat="false" ht="24" hidden="false" customHeight="false" outlineLevel="0" collapsed="false">
      <c r="AA80" s="2"/>
      <c r="AB80" s="2"/>
      <c r="AC80" s="3"/>
      <c r="AD80" s="4"/>
      <c r="AE80" s="4"/>
    </row>
    <row r="81" customFormat="false" ht="24" hidden="false" customHeight="false" outlineLevel="0" collapsed="false">
      <c r="AA81" s="2"/>
      <c r="AB81" s="2"/>
      <c r="AC81" s="3"/>
      <c r="AD81" s="4"/>
      <c r="AE81" s="4"/>
    </row>
    <row r="82" customFormat="false" ht="24" hidden="false" customHeight="false" outlineLevel="0" collapsed="false">
      <c r="AA82" s="2"/>
      <c r="AB82" s="2"/>
      <c r="AC82" s="3"/>
      <c r="AD82" s="4"/>
      <c r="AE82" s="4"/>
    </row>
    <row r="83" customFormat="false" ht="24" hidden="false" customHeight="false" outlineLevel="0" collapsed="false">
      <c r="AA83" s="2"/>
      <c r="AB83" s="2"/>
      <c r="AC83" s="3"/>
      <c r="AD83" s="4"/>
      <c r="AE83" s="4"/>
    </row>
    <row r="84" customFormat="false" ht="24" hidden="false" customHeight="false" outlineLevel="0" collapsed="false">
      <c r="AA84" s="2"/>
      <c r="AB84" s="2"/>
      <c r="AC84" s="3"/>
      <c r="AD84" s="4"/>
      <c r="AE84" s="4"/>
    </row>
    <row r="85" customFormat="false" ht="24" hidden="false" customHeight="false" outlineLevel="0" collapsed="false">
      <c r="AA85" s="2"/>
      <c r="AB85" s="2"/>
      <c r="AC85" s="3"/>
      <c r="AD85" s="4"/>
      <c r="AE85" s="4"/>
    </row>
    <row r="86" customFormat="false" ht="24" hidden="false" customHeight="false" outlineLevel="0" collapsed="false">
      <c r="AA86" s="2"/>
      <c r="AB86" s="2"/>
      <c r="AC86" s="3"/>
      <c r="AD86" s="4"/>
      <c r="AE86" s="4"/>
    </row>
    <row r="87" customFormat="false" ht="24" hidden="false" customHeight="false" outlineLevel="0" collapsed="false">
      <c r="AA87" s="2"/>
      <c r="AB87" s="2"/>
      <c r="AC87" s="3"/>
      <c r="AD87" s="4"/>
      <c r="AE87" s="4"/>
    </row>
    <row r="88" customFormat="false" ht="24" hidden="false" customHeight="false" outlineLevel="0" collapsed="false">
      <c r="AA88" s="2"/>
      <c r="AB88" s="2"/>
      <c r="AC88" s="3"/>
      <c r="AD88" s="4"/>
      <c r="AE88" s="4"/>
    </row>
    <row r="89" customFormat="false" ht="24" hidden="false" customHeight="false" outlineLevel="0" collapsed="false">
      <c r="AA89" s="2"/>
      <c r="AB89" s="2"/>
      <c r="AC89" s="3"/>
      <c r="AD89" s="4"/>
      <c r="AE89" s="4"/>
    </row>
    <row r="90" customFormat="false" ht="24" hidden="false" customHeight="false" outlineLevel="0" collapsed="false">
      <c r="AA90" s="2"/>
      <c r="AB90" s="2"/>
      <c r="AC90" s="3"/>
      <c r="AD90" s="4"/>
      <c r="AE90" s="4"/>
    </row>
    <row r="91" customFormat="false" ht="24" hidden="false" customHeight="false" outlineLevel="0" collapsed="false">
      <c r="AA91" s="2"/>
      <c r="AB91" s="2"/>
      <c r="AC91" s="3"/>
      <c r="AD91" s="4"/>
      <c r="AE91" s="4"/>
    </row>
    <row r="92" customFormat="false" ht="24" hidden="false" customHeight="false" outlineLevel="0" collapsed="false">
      <c r="AA92" s="2"/>
      <c r="AB92" s="2"/>
      <c r="AC92" s="3"/>
      <c r="AD92" s="4"/>
      <c r="AE92" s="4"/>
    </row>
    <row r="93" customFormat="false" ht="24" hidden="false" customHeight="false" outlineLevel="0" collapsed="false">
      <c r="AA93" s="2"/>
      <c r="AB93" s="2"/>
      <c r="AC93" s="3"/>
      <c r="AD93" s="4"/>
      <c r="AE93" s="4"/>
    </row>
    <row r="94" customFormat="false" ht="24" hidden="false" customHeight="false" outlineLevel="0" collapsed="false">
      <c r="AA94" s="2"/>
      <c r="AB94" s="2"/>
      <c r="AC94" s="3"/>
      <c r="AD94" s="4"/>
      <c r="AE94" s="4"/>
    </row>
    <row r="95" customFormat="false" ht="24" hidden="false" customHeight="false" outlineLevel="0" collapsed="false">
      <c r="AA95" s="2"/>
      <c r="AB95" s="2"/>
      <c r="AC95" s="3"/>
      <c r="AD95" s="4"/>
      <c r="AE95" s="4"/>
    </row>
    <row r="96" customFormat="false" ht="24" hidden="false" customHeight="false" outlineLevel="0" collapsed="false">
      <c r="AA96" s="2"/>
      <c r="AB96" s="2"/>
      <c r="AC96" s="3"/>
      <c r="AD96" s="4"/>
      <c r="AE96" s="4"/>
    </row>
    <row r="97" customFormat="false" ht="24" hidden="false" customHeight="false" outlineLevel="0" collapsed="false">
      <c r="AA97" s="2"/>
      <c r="AB97" s="2"/>
      <c r="AC97" s="3"/>
      <c r="AD97" s="4"/>
      <c r="AE97" s="4"/>
    </row>
    <row r="98" customFormat="false" ht="24" hidden="false" customHeight="false" outlineLevel="0" collapsed="false">
      <c r="AA98" s="2"/>
      <c r="AB98" s="2"/>
      <c r="AC98" s="3"/>
      <c r="AD98" s="4"/>
      <c r="AE98" s="4"/>
    </row>
    <row r="99" customFormat="false" ht="24" hidden="false" customHeight="false" outlineLevel="0" collapsed="false">
      <c r="AA99" s="2"/>
      <c r="AB99" s="2"/>
      <c r="AC99" s="3"/>
      <c r="AD99" s="4"/>
      <c r="AE99" s="4"/>
    </row>
    <row r="100" customFormat="false" ht="24" hidden="false" customHeight="false" outlineLevel="0" collapsed="false">
      <c r="AA100" s="2"/>
      <c r="AB100" s="2"/>
      <c r="AC100" s="3"/>
      <c r="AD100" s="4"/>
      <c r="AE100" s="4"/>
    </row>
    <row r="101" customFormat="false" ht="24" hidden="false" customHeight="false" outlineLevel="0" collapsed="false">
      <c r="AA101" s="2"/>
      <c r="AB101" s="2"/>
      <c r="AC101" s="3"/>
      <c r="AD101" s="4"/>
      <c r="AE101" s="4"/>
    </row>
    <row r="102" customFormat="false" ht="24" hidden="false" customHeight="false" outlineLevel="0" collapsed="false">
      <c r="AA102" s="2"/>
      <c r="AB102" s="2"/>
      <c r="AC102" s="3"/>
      <c r="AD102" s="4"/>
      <c r="AE102" s="4"/>
    </row>
    <row r="103" customFormat="false" ht="24" hidden="false" customHeight="false" outlineLevel="0" collapsed="false">
      <c r="AA103" s="2"/>
      <c r="AB103" s="2"/>
      <c r="AC103" s="3"/>
      <c r="AD103" s="4"/>
      <c r="AE103" s="4"/>
    </row>
    <row r="104" customFormat="false" ht="24" hidden="false" customHeight="false" outlineLevel="0" collapsed="false">
      <c r="AA104" s="2"/>
      <c r="AB104" s="2"/>
      <c r="AC104" s="3"/>
      <c r="AD104" s="4"/>
      <c r="AE104" s="4"/>
    </row>
    <row r="105" customFormat="false" ht="24" hidden="false" customHeight="false" outlineLevel="0" collapsed="false">
      <c r="AA105" s="2"/>
      <c r="AB105" s="2"/>
      <c r="AC105" s="3"/>
      <c r="AD105" s="4"/>
      <c r="AE105" s="4"/>
    </row>
    <row r="106" customFormat="false" ht="24" hidden="false" customHeight="false" outlineLevel="0" collapsed="false">
      <c r="AA106" s="2"/>
      <c r="AB106" s="2"/>
      <c r="AC106" s="3"/>
      <c r="AD106" s="4"/>
      <c r="AE106" s="4"/>
    </row>
    <row r="107" customFormat="false" ht="24" hidden="false" customHeight="false" outlineLevel="0" collapsed="false">
      <c r="AA107" s="2"/>
      <c r="AB107" s="2"/>
      <c r="AC107" s="3"/>
      <c r="AD107" s="4"/>
      <c r="AE107" s="4"/>
    </row>
    <row r="108" customFormat="false" ht="24" hidden="false" customHeight="false" outlineLevel="0" collapsed="false">
      <c r="AA108" s="2"/>
      <c r="AB108" s="2"/>
      <c r="AC108" s="3"/>
      <c r="AD108" s="4"/>
      <c r="AE108" s="4"/>
    </row>
    <row r="109" customFormat="false" ht="24" hidden="false" customHeight="false" outlineLevel="0" collapsed="false">
      <c r="AA109" s="2"/>
      <c r="AB109" s="2"/>
      <c r="AC109" s="3"/>
      <c r="AD109" s="4"/>
      <c r="AE109" s="4"/>
    </row>
    <row r="110" customFormat="false" ht="24" hidden="false" customHeight="false" outlineLevel="0" collapsed="false">
      <c r="AA110" s="2"/>
      <c r="AB110" s="2"/>
      <c r="AC110" s="3"/>
      <c r="AD110" s="4"/>
      <c r="AE110" s="4"/>
    </row>
    <row r="111" customFormat="false" ht="24" hidden="false" customHeight="false" outlineLevel="0" collapsed="false">
      <c r="AA111" s="2"/>
      <c r="AB111" s="2"/>
      <c r="AC111" s="3"/>
      <c r="AD111" s="4"/>
      <c r="AE111" s="4"/>
    </row>
    <row r="112" customFormat="false" ht="24" hidden="false" customHeight="false" outlineLevel="0" collapsed="false">
      <c r="AA112" s="2"/>
      <c r="AB112" s="2"/>
      <c r="AC112" s="3"/>
      <c r="AD112" s="4"/>
      <c r="AE112" s="4"/>
    </row>
    <row r="113" customFormat="false" ht="24" hidden="false" customHeight="false" outlineLevel="0" collapsed="false">
      <c r="AA113" s="2"/>
      <c r="AB113" s="2"/>
      <c r="AC113" s="3"/>
      <c r="AD113" s="4"/>
      <c r="AE113" s="4"/>
    </row>
    <row r="114" customFormat="false" ht="24" hidden="false" customHeight="false" outlineLevel="0" collapsed="false">
      <c r="AA114" s="2"/>
      <c r="AB114" s="2"/>
      <c r="AC114" s="3"/>
      <c r="AD114" s="4"/>
      <c r="AE114" s="4"/>
    </row>
    <row r="115" customFormat="false" ht="24" hidden="false" customHeight="false" outlineLevel="0" collapsed="false">
      <c r="AA115" s="2"/>
      <c r="AB115" s="2"/>
      <c r="AC115" s="3"/>
      <c r="AD115" s="4"/>
      <c r="AE115" s="4"/>
    </row>
    <row r="116" customFormat="false" ht="24" hidden="false" customHeight="false" outlineLevel="0" collapsed="false">
      <c r="AA116" s="2"/>
      <c r="AB116" s="2"/>
      <c r="AC116" s="3"/>
      <c r="AD116" s="4"/>
      <c r="AE116" s="4"/>
    </row>
    <row r="117" customFormat="false" ht="24" hidden="false" customHeight="false" outlineLevel="0" collapsed="false">
      <c r="AA117" s="2"/>
      <c r="AB117" s="2"/>
      <c r="AC117" s="3"/>
      <c r="AD117" s="4"/>
      <c r="AE117" s="4"/>
    </row>
    <row r="118" customFormat="false" ht="24" hidden="false" customHeight="false" outlineLevel="0" collapsed="false">
      <c r="AA118" s="2"/>
      <c r="AB118" s="2"/>
      <c r="AC118" s="3"/>
      <c r="AD118" s="4"/>
      <c r="AE118" s="4"/>
    </row>
    <row r="119" customFormat="false" ht="24" hidden="false" customHeight="false" outlineLevel="0" collapsed="false">
      <c r="AA119" s="2"/>
      <c r="AB119" s="2"/>
      <c r="AC119" s="3"/>
      <c r="AD119" s="4"/>
      <c r="AE119" s="4"/>
    </row>
    <row r="120" customFormat="false" ht="24" hidden="false" customHeight="false" outlineLevel="0" collapsed="false">
      <c r="AA120" s="2"/>
      <c r="AB120" s="2"/>
      <c r="AC120" s="3"/>
      <c r="AD120" s="4"/>
      <c r="AE120" s="4"/>
    </row>
    <row r="121" customFormat="false" ht="24" hidden="false" customHeight="false" outlineLevel="0" collapsed="false">
      <c r="AA121" s="2"/>
      <c r="AB121" s="2"/>
      <c r="AC121" s="3"/>
      <c r="AD121" s="4"/>
      <c r="AE121" s="4"/>
    </row>
    <row r="122" customFormat="false" ht="24" hidden="false" customHeight="false" outlineLevel="0" collapsed="false">
      <c r="AA122" s="2"/>
      <c r="AB122" s="2"/>
      <c r="AC122" s="3"/>
      <c r="AD122" s="4"/>
      <c r="AE122" s="4"/>
    </row>
    <row r="123" customFormat="false" ht="24" hidden="false" customHeight="false" outlineLevel="0" collapsed="false">
      <c r="AA123" s="2"/>
      <c r="AB123" s="2"/>
      <c r="AC123" s="3"/>
      <c r="AD123" s="4"/>
      <c r="AE123" s="4"/>
    </row>
    <row r="124" customFormat="false" ht="24" hidden="false" customHeight="false" outlineLevel="0" collapsed="false">
      <c r="AA124" s="2"/>
      <c r="AB124" s="2"/>
      <c r="AC124" s="3"/>
      <c r="AD124" s="4"/>
      <c r="AE124" s="4"/>
    </row>
    <row r="125" customFormat="false" ht="24" hidden="false" customHeight="false" outlineLevel="0" collapsed="false">
      <c r="AA125" s="2"/>
      <c r="AB125" s="2"/>
      <c r="AC125" s="3"/>
      <c r="AD125" s="4"/>
      <c r="AE125" s="4"/>
    </row>
    <row r="126" customFormat="false" ht="24" hidden="false" customHeight="false" outlineLevel="0" collapsed="false">
      <c r="AA126" s="2"/>
      <c r="AB126" s="2"/>
      <c r="AC126" s="3"/>
      <c r="AD126" s="4"/>
      <c r="AE126" s="4"/>
    </row>
    <row r="127" customFormat="false" ht="24" hidden="false" customHeight="false" outlineLevel="0" collapsed="false">
      <c r="AA127" s="2"/>
      <c r="AB127" s="2"/>
      <c r="AC127" s="3"/>
      <c r="AD127" s="4"/>
      <c r="AE127" s="4"/>
    </row>
    <row r="128" customFormat="false" ht="24" hidden="false" customHeight="false" outlineLevel="0" collapsed="false">
      <c r="AA128" s="2"/>
      <c r="AB128" s="2"/>
      <c r="AC128" s="3"/>
      <c r="AD128" s="4"/>
      <c r="AE128" s="4"/>
    </row>
    <row r="129" customFormat="false" ht="24" hidden="false" customHeight="false" outlineLevel="0" collapsed="false">
      <c r="AA129" s="2"/>
      <c r="AB129" s="2"/>
      <c r="AC129" s="3"/>
      <c r="AD129" s="4"/>
      <c r="AE129" s="4"/>
    </row>
    <row r="130" customFormat="false" ht="24" hidden="false" customHeight="false" outlineLevel="0" collapsed="false">
      <c r="AA130" s="2"/>
      <c r="AB130" s="2"/>
      <c r="AC130" s="3"/>
      <c r="AD130" s="4"/>
      <c r="AE130" s="4"/>
    </row>
    <row r="131" customFormat="false" ht="24" hidden="false" customHeight="false" outlineLevel="0" collapsed="false">
      <c r="AA131" s="2"/>
      <c r="AB131" s="2"/>
      <c r="AC131" s="3"/>
      <c r="AD131" s="4"/>
      <c r="AE131" s="4"/>
    </row>
    <row r="132" customFormat="false" ht="24" hidden="false" customHeight="false" outlineLevel="0" collapsed="false">
      <c r="AA132" s="2"/>
      <c r="AB132" s="2"/>
      <c r="AC132" s="3"/>
      <c r="AD132" s="4"/>
      <c r="AE132" s="4"/>
    </row>
    <row r="133" customFormat="false" ht="24" hidden="false" customHeight="false" outlineLevel="0" collapsed="false">
      <c r="AA133" s="2"/>
      <c r="AB133" s="2"/>
      <c r="AC133" s="3"/>
      <c r="AD133" s="4"/>
      <c r="AE133" s="4"/>
    </row>
    <row r="134" customFormat="false" ht="24" hidden="false" customHeight="false" outlineLevel="0" collapsed="false">
      <c r="AA134" s="2"/>
      <c r="AB134" s="2"/>
      <c r="AC134" s="3"/>
      <c r="AD134" s="4"/>
      <c r="AE134" s="4"/>
    </row>
    <row r="135" customFormat="false" ht="24" hidden="false" customHeight="false" outlineLevel="0" collapsed="false">
      <c r="AA135" s="2"/>
      <c r="AB135" s="2"/>
      <c r="AC135" s="3"/>
      <c r="AD135" s="4"/>
      <c r="AE135" s="4"/>
    </row>
    <row r="136" customFormat="false" ht="24" hidden="false" customHeight="false" outlineLevel="0" collapsed="false">
      <c r="AA136" s="2"/>
      <c r="AB136" s="2"/>
      <c r="AC136" s="3"/>
      <c r="AD136" s="4"/>
      <c r="AE136" s="4"/>
    </row>
    <row r="137" customFormat="false" ht="24" hidden="false" customHeight="false" outlineLevel="0" collapsed="false">
      <c r="AA137" s="2"/>
      <c r="AB137" s="2"/>
      <c r="AC137" s="3"/>
      <c r="AD137" s="4"/>
      <c r="AE137" s="4"/>
    </row>
    <row r="138" customFormat="false" ht="24" hidden="false" customHeight="false" outlineLevel="0" collapsed="false">
      <c r="AA138" s="2"/>
      <c r="AB138" s="2"/>
      <c r="AC138" s="3"/>
      <c r="AD138" s="4"/>
      <c r="AE138" s="4"/>
    </row>
    <row r="139" customFormat="false" ht="24" hidden="false" customHeight="false" outlineLevel="0" collapsed="false">
      <c r="AA139" s="2"/>
      <c r="AB139" s="2"/>
      <c r="AC139" s="3"/>
      <c r="AD139" s="4"/>
      <c r="AE139" s="4"/>
    </row>
    <row r="140" customFormat="false" ht="24" hidden="false" customHeight="false" outlineLevel="0" collapsed="false">
      <c r="AA140" s="2"/>
      <c r="AB140" s="2"/>
      <c r="AC140" s="3"/>
      <c r="AD140" s="4"/>
      <c r="AE140" s="4"/>
    </row>
    <row r="141" customFormat="false" ht="24" hidden="false" customHeight="false" outlineLevel="0" collapsed="false">
      <c r="AA141" s="2"/>
      <c r="AB141" s="2"/>
      <c r="AC141" s="3"/>
      <c r="AD141" s="4"/>
      <c r="AE141" s="4"/>
    </row>
    <row r="142" customFormat="false" ht="24" hidden="false" customHeight="false" outlineLevel="0" collapsed="false">
      <c r="AA142" s="2"/>
      <c r="AB142" s="2"/>
      <c r="AC142" s="3"/>
      <c r="AD142" s="4"/>
      <c r="AE142" s="4"/>
    </row>
    <row r="143" customFormat="false" ht="24" hidden="false" customHeight="false" outlineLevel="0" collapsed="false">
      <c r="AA143" s="2"/>
      <c r="AB143" s="2"/>
      <c r="AC143" s="3"/>
      <c r="AD143" s="4"/>
      <c r="AE143" s="4"/>
    </row>
    <row r="144" customFormat="false" ht="24" hidden="false" customHeight="false" outlineLevel="0" collapsed="false">
      <c r="AA144" s="2"/>
      <c r="AB144" s="2"/>
      <c r="AC144" s="3"/>
      <c r="AD144" s="4"/>
      <c r="AE144" s="4"/>
    </row>
    <row r="145" customFormat="false" ht="24" hidden="false" customHeight="false" outlineLevel="0" collapsed="false">
      <c r="AA145" s="2"/>
      <c r="AB145" s="2"/>
      <c r="AC145" s="3"/>
      <c r="AD145" s="4"/>
      <c r="AE145" s="4"/>
    </row>
    <row r="146" customFormat="false" ht="24" hidden="false" customHeight="false" outlineLevel="0" collapsed="false">
      <c r="AA146" s="2"/>
      <c r="AB146" s="2"/>
      <c r="AC146" s="3"/>
      <c r="AD146" s="4"/>
      <c r="AE146" s="4"/>
    </row>
    <row r="147" customFormat="false" ht="24" hidden="false" customHeight="false" outlineLevel="0" collapsed="false">
      <c r="AA147" s="2"/>
      <c r="AB147" s="2"/>
      <c r="AC147" s="3"/>
      <c r="AD147" s="4"/>
      <c r="AE147" s="4"/>
    </row>
    <row r="148" customFormat="false" ht="24" hidden="false" customHeight="false" outlineLevel="0" collapsed="false">
      <c r="AA148" s="2"/>
      <c r="AB148" s="2"/>
      <c r="AC148" s="3"/>
      <c r="AD148" s="4"/>
      <c r="AE148" s="4"/>
    </row>
    <row r="149" customFormat="false" ht="24" hidden="false" customHeight="false" outlineLevel="0" collapsed="false">
      <c r="AA149" s="2"/>
      <c r="AB149" s="2"/>
      <c r="AC149" s="3"/>
      <c r="AD149" s="4"/>
      <c r="AE149" s="4"/>
    </row>
    <row r="150" customFormat="false" ht="24" hidden="false" customHeight="false" outlineLevel="0" collapsed="false">
      <c r="AA150" s="2"/>
      <c r="AB150" s="2"/>
      <c r="AC150" s="3"/>
      <c r="AD150" s="4"/>
      <c r="AE150" s="4"/>
    </row>
    <row r="151" customFormat="false" ht="24" hidden="false" customHeight="false" outlineLevel="0" collapsed="false">
      <c r="AA151" s="2"/>
      <c r="AB151" s="2"/>
      <c r="AC151" s="3"/>
      <c r="AD151" s="4"/>
      <c r="AE151" s="4"/>
    </row>
    <row r="152" customFormat="false" ht="24" hidden="false" customHeight="false" outlineLevel="0" collapsed="false">
      <c r="AA152" s="2"/>
      <c r="AB152" s="2"/>
      <c r="AC152" s="3"/>
      <c r="AD152" s="4"/>
      <c r="AE152" s="4"/>
    </row>
    <row r="153" customFormat="false" ht="24" hidden="false" customHeight="false" outlineLevel="0" collapsed="false">
      <c r="AA153" s="2"/>
      <c r="AB153" s="2"/>
      <c r="AC153" s="3"/>
      <c r="AD153" s="4"/>
      <c r="AE153" s="4"/>
    </row>
    <row r="154" customFormat="false" ht="24" hidden="false" customHeight="false" outlineLevel="0" collapsed="false">
      <c r="AA154" s="2"/>
      <c r="AB154" s="2"/>
      <c r="AC154" s="3"/>
      <c r="AD154" s="4"/>
      <c r="AE154" s="4"/>
    </row>
    <row r="155" customFormat="false" ht="24" hidden="false" customHeight="false" outlineLevel="0" collapsed="false">
      <c r="AA155" s="2"/>
      <c r="AB155" s="2"/>
      <c r="AC155" s="3"/>
      <c r="AD155" s="4"/>
      <c r="AE155" s="4"/>
    </row>
    <row r="156" customFormat="false" ht="24" hidden="false" customHeight="false" outlineLevel="0" collapsed="false">
      <c r="AA156" s="2"/>
      <c r="AB156" s="2"/>
      <c r="AC156" s="3"/>
      <c r="AD156" s="4"/>
      <c r="AE156" s="4"/>
    </row>
    <row r="157" customFormat="false" ht="24" hidden="false" customHeight="false" outlineLevel="0" collapsed="false">
      <c r="AA157" s="2"/>
      <c r="AB157" s="2"/>
      <c r="AC157" s="3"/>
      <c r="AD157" s="4"/>
      <c r="AE157" s="4"/>
    </row>
    <row r="158" customFormat="false" ht="24" hidden="false" customHeight="false" outlineLevel="0" collapsed="false">
      <c r="AA158" s="2"/>
      <c r="AB158" s="2"/>
      <c r="AC158" s="3"/>
      <c r="AD158" s="4"/>
      <c r="AE158" s="4"/>
    </row>
    <row r="159" customFormat="false" ht="24" hidden="false" customHeight="false" outlineLevel="0" collapsed="false">
      <c r="AA159" s="2"/>
      <c r="AB159" s="2"/>
      <c r="AC159" s="3"/>
      <c r="AD159" s="4"/>
      <c r="AE159" s="4"/>
    </row>
    <row r="160" customFormat="false" ht="24" hidden="false" customHeight="false" outlineLevel="0" collapsed="false">
      <c r="AA160" s="2"/>
      <c r="AB160" s="2"/>
      <c r="AC160" s="3"/>
      <c r="AD160" s="4"/>
      <c r="AE160" s="4"/>
    </row>
    <row r="161" customFormat="false" ht="24" hidden="false" customHeight="false" outlineLevel="0" collapsed="false">
      <c r="AA161" s="2"/>
      <c r="AB161" s="2"/>
      <c r="AC161" s="3"/>
      <c r="AD161" s="4"/>
      <c r="AE161" s="4"/>
    </row>
    <row r="162" customFormat="false" ht="24" hidden="false" customHeight="false" outlineLevel="0" collapsed="false">
      <c r="AA162" s="2"/>
      <c r="AB162" s="2"/>
      <c r="AC162" s="3"/>
      <c r="AD162" s="4"/>
      <c r="AE162" s="4"/>
    </row>
    <row r="163" customFormat="false" ht="24" hidden="false" customHeight="false" outlineLevel="0" collapsed="false">
      <c r="AA163" s="2"/>
      <c r="AB163" s="2"/>
      <c r="AC163" s="3"/>
      <c r="AD163" s="4"/>
      <c r="AE163" s="4"/>
    </row>
    <row r="164" customFormat="false" ht="24" hidden="false" customHeight="false" outlineLevel="0" collapsed="false">
      <c r="AA164" s="2"/>
      <c r="AB164" s="2"/>
      <c r="AC164" s="3"/>
      <c r="AD164" s="4"/>
      <c r="AE164" s="4"/>
    </row>
    <row r="165" customFormat="false" ht="24" hidden="false" customHeight="false" outlineLevel="0" collapsed="false">
      <c r="AA165" s="2"/>
      <c r="AB165" s="2"/>
      <c r="AC165" s="3"/>
      <c r="AD165" s="4"/>
      <c r="AE165" s="4"/>
    </row>
    <row r="166" customFormat="false" ht="24" hidden="false" customHeight="false" outlineLevel="0" collapsed="false">
      <c r="AA166" s="2"/>
      <c r="AB166" s="2"/>
      <c r="AC166" s="3"/>
      <c r="AD166" s="4"/>
      <c r="AE166" s="4"/>
    </row>
    <row r="167" customFormat="false" ht="24" hidden="false" customHeight="false" outlineLevel="0" collapsed="false">
      <c r="AA167" s="2"/>
      <c r="AB167" s="2"/>
      <c r="AC167" s="3"/>
      <c r="AD167" s="4"/>
      <c r="AE167" s="4"/>
    </row>
    <row r="168" customFormat="false" ht="24" hidden="false" customHeight="false" outlineLevel="0" collapsed="false">
      <c r="AA168" s="2"/>
      <c r="AB168" s="2"/>
      <c r="AC168" s="3"/>
      <c r="AD168" s="4"/>
      <c r="AE168" s="4"/>
    </row>
    <row r="169" customFormat="false" ht="24" hidden="false" customHeight="false" outlineLevel="0" collapsed="false">
      <c r="AA169" s="2"/>
      <c r="AB169" s="2"/>
      <c r="AC169" s="3"/>
      <c r="AD169" s="4"/>
      <c r="AE169" s="4"/>
    </row>
    <row r="170" customFormat="false" ht="24" hidden="false" customHeight="false" outlineLevel="0" collapsed="false">
      <c r="AA170" s="2"/>
      <c r="AB170" s="2"/>
      <c r="AC170" s="3"/>
      <c r="AD170" s="4"/>
      <c r="AE170" s="4"/>
    </row>
    <row r="171" customFormat="false" ht="24" hidden="false" customHeight="false" outlineLevel="0" collapsed="false">
      <c r="AA171" s="2"/>
      <c r="AB171" s="2"/>
      <c r="AC171" s="3"/>
      <c r="AD171" s="4"/>
      <c r="AE171" s="4"/>
    </row>
    <row r="172" customFormat="false" ht="24" hidden="false" customHeight="false" outlineLevel="0" collapsed="false">
      <c r="AA172" s="2"/>
      <c r="AB172" s="2"/>
      <c r="AC172" s="3"/>
      <c r="AD172" s="4"/>
      <c r="AE172" s="4"/>
    </row>
    <row r="173" customFormat="false" ht="24" hidden="false" customHeight="false" outlineLevel="0" collapsed="false">
      <c r="AA173" s="2"/>
      <c r="AB173" s="2"/>
      <c r="AC173" s="3"/>
      <c r="AD173" s="4"/>
      <c r="AE173" s="4"/>
    </row>
    <row r="174" customFormat="false" ht="24" hidden="false" customHeight="false" outlineLevel="0" collapsed="false">
      <c r="AA174" s="2"/>
      <c r="AB174" s="2"/>
      <c r="AC174" s="3"/>
      <c r="AD174" s="4"/>
      <c r="AE174" s="4"/>
    </row>
    <row r="175" customFormat="false" ht="24" hidden="false" customHeight="false" outlineLevel="0" collapsed="false">
      <c r="AA175" s="2"/>
      <c r="AB175" s="2"/>
      <c r="AC175" s="3"/>
      <c r="AD175" s="4"/>
      <c r="AE175" s="4"/>
    </row>
    <row r="176" customFormat="false" ht="24" hidden="false" customHeight="false" outlineLevel="0" collapsed="false">
      <c r="AA176" s="2"/>
      <c r="AB176" s="2"/>
      <c r="AC176" s="3"/>
      <c r="AD176" s="4"/>
      <c r="AE176" s="4"/>
    </row>
    <row r="177" customFormat="false" ht="24" hidden="false" customHeight="false" outlineLevel="0" collapsed="false">
      <c r="AA177" s="2"/>
      <c r="AB177" s="2"/>
      <c r="AC177" s="3"/>
      <c r="AD177" s="4"/>
      <c r="AE177" s="4"/>
    </row>
    <row r="178" customFormat="false" ht="24" hidden="false" customHeight="false" outlineLevel="0" collapsed="false">
      <c r="AA178" s="2"/>
      <c r="AB178" s="2"/>
      <c r="AC178" s="3"/>
      <c r="AD178" s="4"/>
      <c r="AE178" s="4"/>
    </row>
    <row r="179" customFormat="false" ht="24" hidden="false" customHeight="false" outlineLevel="0" collapsed="false">
      <c r="AA179" s="2"/>
      <c r="AB179" s="2"/>
      <c r="AC179" s="3"/>
      <c r="AD179" s="4"/>
      <c r="AE179" s="4"/>
    </row>
    <row r="180" customFormat="false" ht="24" hidden="false" customHeight="false" outlineLevel="0" collapsed="false">
      <c r="AA180" s="2"/>
      <c r="AB180" s="2"/>
      <c r="AC180" s="3"/>
      <c r="AD180" s="4"/>
      <c r="AE180" s="4"/>
    </row>
    <row r="181" customFormat="false" ht="24" hidden="false" customHeight="false" outlineLevel="0" collapsed="false">
      <c r="AA181" s="2"/>
      <c r="AB181" s="2"/>
      <c r="AC181" s="3"/>
      <c r="AD181" s="4"/>
      <c r="AE181" s="4"/>
    </row>
    <row r="182" customFormat="false" ht="24" hidden="false" customHeight="false" outlineLevel="0" collapsed="false">
      <c r="AA182" s="2"/>
      <c r="AB182" s="2"/>
      <c r="AC182" s="3"/>
      <c r="AD182" s="4"/>
      <c r="AE182" s="4"/>
    </row>
    <row r="183" customFormat="false" ht="24" hidden="false" customHeight="false" outlineLevel="0" collapsed="false">
      <c r="AA183" s="2"/>
      <c r="AB183" s="2"/>
      <c r="AC183" s="3"/>
      <c r="AD183" s="4"/>
      <c r="AE183" s="4"/>
    </row>
    <row r="184" customFormat="false" ht="24" hidden="false" customHeight="false" outlineLevel="0" collapsed="false">
      <c r="AA184" s="2"/>
      <c r="AB184" s="2"/>
      <c r="AC184" s="3"/>
      <c r="AD184" s="4"/>
      <c r="AE184" s="4"/>
    </row>
    <row r="185" customFormat="false" ht="24" hidden="false" customHeight="false" outlineLevel="0" collapsed="false">
      <c r="AA185" s="2"/>
      <c r="AB185" s="2"/>
      <c r="AC185" s="3"/>
      <c r="AD185" s="4"/>
      <c r="AE185" s="4"/>
    </row>
    <row r="186" customFormat="false" ht="24" hidden="false" customHeight="false" outlineLevel="0" collapsed="false">
      <c r="AA186" s="2"/>
      <c r="AB186" s="2"/>
      <c r="AC186" s="3"/>
      <c r="AD186" s="4"/>
      <c r="AE186" s="4"/>
    </row>
    <row r="187" customFormat="false" ht="24" hidden="false" customHeight="false" outlineLevel="0" collapsed="false">
      <c r="AA187" s="2"/>
      <c r="AB187" s="2"/>
      <c r="AC187" s="3"/>
      <c r="AD187" s="4"/>
      <c r="AE187" s="4"/>
    </row>
    <row r="188" customFormat="false" ht="24" hidden="false" customHeight="false" outlineLevel="0" collapsed="false">
      <c r="AA188" s="2"/>
      <c r="AB188" s="2"/>
      <c r="AC188" s="3"/>
      <c r="AD188" s="4"/>
      <c r="AE188" s="4"/>
    </row>
    <row r="189" customFormat="false" ht="24" hidden="false" customHeight="false" outlineLevel="0" collapsed="false">
      <c r="AA189" s="2"/>
      <c r="AB189" s="2"/>
      <c r="AC189" s="3"/>
      <c r="AD189" s="4"/>
      <c r="AE189" s="4"/>
    </row>
    <row r="190" customFormat="false" ht="24" hidden="false" customHeight="false" outlineLevel="0" collapsed="false">
      <c r="AA190" s="2"/>
      <c r="AB190" s="2"/>
      <c r="AC190" s="3"/>
      <c r="AD190" s="4"/>
      <c r="AE190" s="4"/>
    </row>
    <row r="191" customFormat="false" ht="24" hidden="false" customHeight="false" outlineLevel="0" collapsed="false">
      <c r="AA191" s="2"/>
      <c r="AB191" s="2"/>
      <c r="AC191" s="3"/>
      <c r="AD191" s="4"/>
      <c r="AE191" s="4"/>
    </row>
    <row r="192" customFormat="false" ht="24" hidden="false" customHeight="false" outlineLevel="0" collapsed="false">
      <c r="AA192" s="2"/>
      <c r="AB192" s="2"/>
      <c r="AC192" s="3"/>
      <c r="AD192" s="4"/>
      <c r="AE192" s="4"/>
    </row>
    <row r="193" customFormat="false" ht="24" hidden="false" customHeight="false" outlineLevel="0" collapsed="false">
      <c r="AA193" s="2"/>
      <c r="AB193" s="2"/>
      <c r="AC193" s="3"/>
      <c r="AD193" s="4"/>
      <c r="AE193" s="4"/>
    </row>
    <row r="194" customFormat="false" ht="24" hidden="false" customHeight="false" outlineLevel="0" collapsed="false">
      <c r="AA194" s="2"/>
      <c r="AB194" s="2"/>
      <c r="AC194" s="3"/>
      <c r="AD194" s="4"/>
      <c r="AE194" s="4"/>
    </row>
    <row r="195" customFormat="false" ht="24" hidden="false" customHeight="false" outlineLevel="0" collapsed="false">
      <c r="AA195" s="2"/>
      <c r="AB195" s="2"/>
      <c r="AC195" s="3"/>
      <c r="AD195" s="4"/>
      <c r="AE195" s="4"/>
    </row>
    <row r="196" customFormat="false" ht="24" hidden="false" customHeight="false" outlineLevel="0" collapsed="false">
      <c r="AA196" s="2"/>
      <c r="AB196" s="2"/>
      <c r="AC196" s="3"/>
      <c r="AD196" s="4"/>
      <c r="AE196" s="4"/>
    </row>
    <row r="197" customFormat="false" ht="24" hidden="false" customHeight="false" outlineLevel="0" collapsed="false">
      <c r="AA197" s="2"/>
      <c r="AB197" s="2"/>
      <c r="AC197" s="3"/>
      <c r="AD197" s="4"/>
      <c r="AE197" s="4"/>
    </row>
    <row r="198" customFormat="false" ht="24" hidden="false" customHeight="false" outlineLevel="0" collapsed="false">
      <c r="AA198" s="2"/>
      <c r="AB198" s="2"/>
      <c r="AC198" s="3"/>
      <c r="AD198" s="4"/>
      <c r="AE198" s="4"/>
    </row>
    <row r="199" customFormat="false" ht="24" hidden="false" customHeight="false" outlineLevel="0" collapsed="false">
      <c r="AA199" s="2"/>
      <c r="AB199" s="2"/>
      <c r="AC199" s="3"/>
      <c r="AD199" s="4"/>
      <c r="AE199" s="4"/>
    </row>
    <row r="200" customFormat="false" ht="24" hidden="false" customHeight="false" outlineLevel="0" collapsed="false">
      <c r="AA200" s="2"/>
      <c r="AB200" s="2"/>
      <c r="AC200" s="3"/>
      <c r="AD200" s="4"/>
      <c r="AE200" s="4"/>
    </row>
    <row r="201" customFormat="false" ht="24" hidden="false" customHeight="false" outlineLevel="0" collapsed="false">
      <c r="AA201" s="2"/>
      <c r="AB201" s="2"/>
      <c r="AC201" s="3"/>
      <c r="AD201" s="4"/>
      <c r="AE201" s="4"/>
    </row>
    <row r="202" customFormat="false" ht="24" hidden="false" customHeight="false" outlineLevel="0" collapsed="false">
      <c r="AA202" s="2"/>
      <c r="AB202" s="2"/>
      <c r="AC202" s="3"/>
      <c r="AD202" s="4"/>
      <c r="AE202" s="4"/>
    </row>
    <row r="203" customFormat="false" ht="24" hidden="false" customHeight="false" outlineLevel="0" collapsed="false">
      <c r="AA203" s="2"/>
      <c r="AB203" s="2"/>
      <c r="AC203" s="3"/>
      <c r="AD203" s="4"/>
      <c r="AE203" s="4"/>
    </row>
    <row r="204" customFormat="false" ht="24" hidden="false" customHeight="false" outlineLevel="0" collapsed="false">
      <c r="AA204" s="2"/>
      <c r="AB204" s="2"/>
      <c r="AC204" s="3"/>
      <c r="AD204" s="4"/>
      <c r="AE204" s="4"/>
    </row>
    <row r="205" customFormat="false" ht="24" hidden="false" customHeight="false" outlineLevel="0" collapsed="false">
      <c r="AA205" s="2"/>
      <c r="AB205" s="2"/>
      <c r="AC205" s="3"/>
      <c r="AD205" s="4"/>
      <c r="AE205" s="4"/>
    </row>
    <row r="206" customFormat="false" ht="24" hidden="false" customHeight="false" outlineLevel="0" collapsed="false">
      <c r="AA206" s="2"/>
      <c r="AB206" s="2"/>
      <c r="AC206" s="3"/>
      <c r="AD206" s="4"/>
      <c r="AE206" s="4"/>
    </row>
    <row r="207" customFormat="false" ht="24" hidden="false" customHeight="false" outlineLevel="0" collapsed="false">
      <c r="AA207" s="2"/>
      <c r="AB207" s="2"/>
      <c r="AC207" s="3"/>
      <c r="AD207" s="4"/>
      <c r="AE207" s="4"/>
    </row>
    <row r="208" customFormat="false" ht="24" hidden="false" customHeight="false" outlineLevel="0" collapsed="false">
      <c r="AA208" s="2"/>
      <c r="AB208" s="2"/>
      <c r="AC208" s="3"/>
      <c r="AD208" s="4"/>
      <c r="AE208" s="4"/>
    </row>
    <row r="209" customFormat="false" ht="24" hidden="false" customHeight="false" outlineLevel="0" collapsed="false">
      <c r="AA209" s="2"/>
      <c r="AB209" s="2"/>
      <c r="AC209" s="3"/>
      <c r="AD209" s="4"/>
      <c r="AE209" s="4"/>
    </row>
    <row r="210" customFormat="false" ht="24" hidden="false" customHeight="false" outlineLevel="0" collapsed="false">
      <c r="AA210" s="2"/>
      <c r="AB210" s="2"/>
      <c r="AC210" s="3"/>
      <c r="AD210" s="4"/>
      <c r="AE210" s="4"/>
    </row>
    <row r="211" customFormat="false" ht="24" hidden="false" customHeight="false" outlineLevel="0" collapsed="false">
      <c r="AA211" s="2"/>
      <c r="AB211" s="2"/>
      <c r="AC211" s="3"/>
      <c r="AD211" s="4"/>
      <c r="AE211" s="4"/>
    </row>
    <row r="212" customFormat="false" ht="24" hidden="false" customHeight="false" outlineLevel="0" collapsed="false">
      <c r="AA212" s="2"/>
      <c r="AB212" s="2"/>
      <c r="AC212" s="3"/>
      <c r="AD212" s="4"/>
      <c r="AE212" s="4"/>
    </row>
    <row r="213" customFormat="false" ht="24" hidden="false" customHeight="false" outlineLevel="0" collapsed="false">
      <c r="AA213" s="2"/>
      <c r="AB213" s="2"/>
      <c r="AC213" s="3"/>
      <c r="AD213" s="4"/>
      <c r="AE213" s="4"/>
    </row>
    <row r="214" customFormat="false" ht="24" hidden="false" customHeight="false" outlineLevel="0" collapsed="false">
      <c r="AA214" s="2"/>
      <c r="AB214" s="2"/>
      <c r="AC214" s="3"/>
      <c r="AD214" s="4"/>
      <c r="AE214" s="4"/>
    </row>
    <row r="215" customFormat="false" ht="24" hidden="false" customHeight="false" outlineLevel="0" collapsed="false">
      <c r="AA215" s="2"/>
      <c r="AB215" s="2"/>
      <c r="AC215" s="3"/>
      <c r="AD215" s="4"/>
      <c r="AE215" s="4"/>
    </row>
    <row r="216" customFormat="false" ht="24" hidden="false" customHeight="false" outlineLevel="0" collapsed="false">
      <c r="AA216" s="2"/>
      <c r="AB216" s="2"/>
      <c r="AC216" s="3"/>
      <c r="AD216" s="4"/>
      <c r="AE216" s="4"/>
    </row>
    <row r="217" customFormat="false" ht="24" hidden="false" customHeight="false" outlineLevel="0" collapsed="false">
      <c r="AA217" s="2"/>
      <c r="AB217" s="2"/>
      <c r="AC217" s="3"/>
      <c r="AD217" s="4"/>
      <c r="AE217" s="4"/>
    </row>
    <row r="218" customFormat="false" ht="24" hidden="false" customHeight="false" outlineLevel="0" collapsed="false">
      <c r="AA218" s="2"/>
      <c r="AB218" s="2"/>
      <c r="AC218" s="3"/>
      <c r="AD218" s="4"/>
      <c r="AE218" s="4"/>
    </row>
    <row r="219" customFormat="false" ht="24" hidden="false" customHeight="false" outlineLevel="0" collapsed="false">
      <c r="AA219" s="2"/>
      <c r="AB219" s="2"/>
      <c r="AC219" s="3"/>
      <c r="AD219" s="4"/>
      <c r="AE219" s="4"/>
    </row>
    <row r="220" customFormat="false" ht="24" hidden="false" customHeight="false" outlineLevel="0" collapsed="false">
      <c r="AA220" s="2"/>
      <c r="AB220" s="2"/>
      <c r="AC220" s="3"/>
      <c r="AD220" s="4"/>
      <c r="AE220" s="4"/>
    </row>
    <row r="221" customFormat="false" ht="24" hidden="false" customHeight="false" outlineLevel="0" collapsed="false">
      <c r="AA221" s="2"/>
      <c r="AB221" s="2"/>
      <c r="AC221" s="3"/>
      <c r="AD221" s="4"/>
      <c r="AE221" s="4"/>
    </row>
    <row r="222" customFormat="false" ht="24" hidden="false" customHeight="false" outlineLevel="0" collapsed="false">
      <c r="AA222" s="2"/>
      <c r="AB222" s="2"/>
      <c r="AC222" s="3"/>
      <c r="AD222" s="4"/>
      <c r="AE222" s="4"/>
    </row>
    <row r="223" customFormat="false" ht="24" hidden="false" customHeight="false" outlineLevel="0" collapsed="false">
      <c r="AA223" s="2"/>
      <c r="AB223" s="2"/>
      <c r="AC223" s="3"/>
      <c r="AD223" s="4"/>
      <c r="AE223" s="4"/>
    </row>
    <row r="224" customFormat="false" ht="24" hidden="false" customHeight="false" outlineLevel="0" collapsed="false">
      <c r="AA224" s="2"/>
      <c r="AB224" s="2"/>
      <c r="AC224" s="3"/>
      <c r="AD224" s="4"/>
      <c r="AE224" s="4"/>
    </row>
    <row r="225" customFormat="false" ht="24" hidden="false" customHeight="false" outlineLevel="0" collapsed="false">
      <c r="AA225" s="2"/>
      <c r="AB225" s="2"/>
      <c r="AC225" s="3"/>
      <c r="AD225" s="4"/>
      <c r="AE225" s="4"/>
    </row>
    <row r="226" customFormat="false" ht="24" hidden="false" customHeight="false" outlineLevel="0" collapsed="false">
      <c r="AA226" s="2"/>
      <c r="AB226" s="2"/>
      <c r="AC226" s="3"/>
      <c r="AD226" s="4"/>
      <c r="AE226" s="4"/>
    </row>
    <row r="227" customFormat="false" ht="24" hidden="false" customHeight="false" outlineLevel="0" collapsed="false">
      <c r="AA227" s="2"/>
      <c r="AB227" s="2"/>
      <c r="AC227" s="3"/>
      <c r="AD227" s="4"/>
      <c r="AE227" s="4"/>
    </row>
    <row r="228" customFormat="false" ht="24" hidden="false" customHeight="false" outlineLevel="0" collapsed="false">
      <c r="AA228" s="2"/>
      <c r="AB228" s="2"/>
      <c r="AC228" s="3"/>
      <c r="AD228" s="4"/>
      <c r="AE228" s="4"/>
    </row>
    <row r="229" customFormat="false" ht="24" hidden="false" customHeight="false" outlineLevel="0" collapsed="false">
      <c r="AA229" s="2"/>
      <c r="AB229" s="2"/>
      <c r="AC229" s="3"/>
      <c r="AD229" s="4"/>
      <c r="AE229" s="4"/>
    </row>
    <row r="230" customFormat="false" ht="24" hidden="false" customHeight="false" outlineLevel="0" collapsed="false">
      <c r="AA230" s="2"/>
      <c r="AB230" s="2"/>
      <c r="AC230" s="3"/>
      <c r="AD230" s="4"/>
      <c r="AE230" s="4"/>
    </row>
    <row r="231" customFormat="false" ht="24" hidden="false" customHeight="false" outlineLevel="0" collapsed="false">
      <c r="AA231" s="2"/>
      <c r="AB231" s="2"/>
      <c r="AC231" s="3"/>
      <c r="AD231" s="4"/>
      <c r="AE231" s="4"/>
    </row>
    <row r="232" customFormat="false" ht="24" hidden="false" customHeight="false" outlineLevel="0" collapsed="false">
      <c r="AA232" s="2"/>
      <c r="AB232" s="2"/>
      <c r="AC232" s="3"/>
      <c r="AD232" s="4"/>
      <c r="AE232" s="4"/>
    </row>
    <row r="233" customFormat="false" ht="24" hidden="false" customHeight="false" outlineLevel="0" collapsed="false">
      <c r="AA233" s="2"/>
      <c r="AB233" s="2"/>
      <c r="AC233" s="3"/>
      <c r="AD233" s="4"/>
      <c r="AE233" s="4"/>
    </row>
    <row r="234" customFormat="false" ht="24" hidden="false" customHeight="false" outlineLevel="0" collapsed="false">
      <c r="AA234" s="2"/>
      <c r="AB234" s="2"/>
      <c r="AC234" s="3"/>
      <c r="AD234" s="4"/>
      <c r="AE234" s="4"/>
    </row>
    <row r="235" customFormat="false" ht="24" hidden="false" customHeight="false" outlineLevel="0" collapsed="false">
      <c r="AA235" s="2"/>
      <c r="AB235" s="2"/>
      <c r="AC235" s="3"/>
      <c r="AD235" s="4"/>
      <c r="AE235" s="4"/>
    </row>
    <row r="236" customFormat="false" ht="24" hidden="false" customHeight="false" outlineLevel="0" collapsed="false">
      <c r="AA236" s="2"/>
      <c r="AB236" s="2"/>
      <c r="AC236" s="3"/>
      <c r="AD236" s="4"/>
      <c r="AE236" s="4"/>
    </row>
    <row r="237" customFormat="false" ht="24" hidden="false" customHeight="false" outlineLevel="0" collapsed="false">
      <c r="AA237" s="2"/>
      <c r="AB237" s="2"/>
      <c r="AC237" s="3"/>
      <c r="AD237" s="4"/>
      <c r="AE237" s="4"/>
    </row>
    <row r="238" customFormat="false" ht="24" hidden="false" customHeight="false" outlineLevel="0" collapsed="false">
      <c r="AA238" s="2"/>
      <c r="AB238" s="2"/>
      <c r="AC238" s="3"/>
      <c r="AD238" s="4"/>
      <c r="AE238" s="4"/>
    </row>
    <row r="239" customFormat="false" ht="24" hidden="false" customHeight="false" outlineLevel="0" collapsed="false">
      <c r="AA239" s="2"/>
      <c r="AB239" s="2"/>
      <c r="AC239" s="3"/>
      <c r="AD239" s="4"/>
      <c r="AE239" s="4"/>
    </row>
    <row r="240" customFormat="false" ht="24" hidden="false" customHeight="false" outlineLevel="0" collapsed="false">
      <c r="AA240" s="2"/>
      <c r="AB240" s="2"/>
      <c r="AC240" s="3"/>
      <c r="AD240" s="4"/>
      <c r="AE240" s="4"/>
    </row>
    <row r="241" customFormat="false" ht="24" hidden="false" customHeight="false" outlineLevel="0" collapsed="false">
      <c r="AA241" s="2"/>
      <c r="AB241" s="2"/>
      <c r="AC241" s="3"/>
      <c r="AD241" s="4"/>
      <c r="AE241" s="4"/>
    </row>
    <row r="242" customFormat="false" ht="24" hidden="false" customHeight="false" outlineLevel="0" collapsed="false">
      <c r="AA242" s="2"/>
      <c r="AB242" s="2"/>
      <c r="AC242" s="3"/>
      <c r="AD242" s="4"/>
      <c r="AE242" s="4"/>
    </row>
    <row r="243" customFormat="false" ht="24" hidden="false" customHeight="false" outlineLevel="0" collapsed="false">
      <c r="AA243" s="2"/>
      <c r="AB243" s="2"/>
      <c r="AC243" s="3"/>
      <c r="AD243" s="4"/>
      <c r="AE243" s="4"/>
    </row>
    <row r="244" customFormat="false" ht="24" hidden="false" customHeight="false" outlineLevel="0" collapsed="false">
      <c r="AA244" s="2"/>
      <c r="AB244" s="2"/>
      <c r="AC244" s="3"/>
      <c r="AD244" s="4"/>
      <c r="AE244" s="4"/>
    </row>
    <row r="245" customFormat="false" ht="24" hidden="false" customHeight="false" outlineLevel="0" collapsed="false">
      <c r="AA245" s="2"/>
      <c r="AB245" s="2"/>
      <c r="AC245" s="3"/>
      <c r="AD245" s="4"/>
      <c r="AE245" s="4"/>
    </row>
  </sheetData>
  <mergeCells count="15">
    <mergeCell ref="C2:Y2"/>
    <mergeCell ref="H3:S3"/>
    <mergeCell ref="U3:Z3"/>
    <mergeCell ref="A4:A5"/>
    <mergeCell ref="B4:C4"/>
    <mergeCell ref="D4:E4"/>
    <mergeCell ref="F4:G4"/>
    <mergeCell ref="H4:I4"/>
    <mergeCell ref="J4:K4"/>
    <mergeCell ref="L4:M4"/>
    <mergeCell ref="N4:N5"/>
    <mergeCell ref="O4:P4"/>
    <mergeCell ref="Q4:R4"/>
    <mergeCell ref="AE6:AE7"/>
    <mergeCell ref="U39:W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D41"/>
  <sheetViews>
    <sheetView showFormulas="false" showGridLines="true" showRowColHeaders="true" showZeros="true" rightToLeft="false" tabSelected="false" showOutlineSymbols="true" defaultGridColor="true" view="normal" topLeftCell="A1" colorId="64" zoomScale="37" zoomScaleNormal="37" zoomScalePageLayoutView="27" workbookViewId="0">
      <pane xSplit="1" ySplit="4" topLeftCell="B33" activePane="bottomRight" state="frozen"/>
      <selection pane="topLeft" activeCell="A1" activeCellId="0" sqref="A1"/>
      <selection pane="topRight" activeCell="B1" activeCellId="0" sqref="B1"/>
      <selection pane="bottomLeft" activeCell="A33" activeCellId="0" sqref="A33"/>
      <selection pane="bottomRight" activeCell="B36" activeCellId="0" sqref="B36"/>
    </sheetView>
  </sheetViews>
  <sheetFormatPr defaultColWidth="8.71484375" defaultRowHeight="24" zeroHeight="false" outlineLevelRow="0" outlineLevelCol="0"/>
  <cols>
    <col collapsed="false" customWidth="true" hidden="false" outlineLevel="0" max="2" min="1" style="1" width="51.86"/>
    <col collapsed="false" customWidth="true" hidden="false" outlineLevel="0" max="3" min="3" style="1" width="41.43"/>
    <col collapsed="false" customWidth="true" hidden="false" outlineLevel="0" max="9" min="4" style="1" width="39.86"/>
    <col collapsed="false" customWidth="true" hidden="false" outlineLevel="0" max="11" min="10" style="1" width="38.43"/>
    <col collapsed="false" customWidth="true" hidden="false" outlineLevel="0" max="15" min="12" style="1" width="33.86"/>
    <col collapsed="false" customWidth="true" hidden="false" outlineLevel="0" max="17" min="16" style="1" width="40.14"/>
    <col collapsed="false" customWidth="true" hidden="false" outlineLevel="0" max="18" min="18" style="1" width="50.57"/>
    <col collapsed="false" customWidth="true" hidden="false" outlineLevel="0" max="19" min="19" style="1" width="39.86"/>
    <col collapsed="false" customWidth="true" hidden="false" outlineLevel="0" max="20" min="20" style="1" width="9.86"/>
    <col collapsed="false" customWidth="true" hidden="false" outlineLevel="0" max="21" min="21" style="1" width="47.43"/>
    <col collapsed="false" customWidth="true" hidden="false" outlineLevel="0" max="22" min="22" style="1" width="47.86"/>
    <col collapsed="false" customWidth="true" hidden="false" outlineLevel="0" max="23" min="23" style="1" width="28.86"/>
    <col collapsed="false" customWidth="true" hidden="false" outlineLevel="0" max="24" min="24" style="1" width="173.29"/>
    <col collapsed="false" customWidth="true" hidden="false" outlineLevel="0" max="25" min="25" style="2" width="27.86"/>
    <col collapsed="false" customWidth="true" hidden="false" outlineLevel="0" max="26" min="26" style="2" width="9.14"/>
    <col collapsed="false" customWidth="true" hidden="false" outlineLevel="0" max="27" min="27" style="3" width="37"/>
    <col collapsed="false" customWidth="false" hidden="false" outlineLevel="0" max="28" min="28" style="4" width="8.71"/>
    <col collapsed="false" customWidth="true" hidden="false" outlineLevel="0" max="29" min="29" style="4" width="109.43"/>
    <col collapsed="false" customWidth="true" hidden="false" outlineLevel="0" max="30" min="30" style="4" width="19.86"/>
    <col collapsed="false" customWidth="false" hidden="false" outlineLevel="0" max="16384" min="31" style="4" width="8.71"/>
  </cols>
  <sheetData>
    <row r="2" s="11" customFormat="true" ht="105" hidden="false" customHeight="true" outlineLevel="0" collapsed="false">
      <c r="A2" s="5"/>
      <c r="B2" s="5"/>
      <c r="C2" s="6" t="s">
        <v>104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  <c r="X2" s="8"/>
      <c r="Y2" s="9"/>
      <c r="Z2" s="9"/>
      <c r="AA2" s="10"/>
    </row>
    <row r="3" s="11" customFormat="true" ht="62.25" hidden="false" customHeight="true" outlineLevel="0" collapsed="false">
      <c r="A3" s="5"/>
      <c r="B3" s="5"/>
      <c r="C3" s="12"/>
      <c r="D3" s="12"/>
      <c r="E3" s="12"/>
      <c r="F3" s="13"/>
      <c r="G3" s="13"/>
      <c r="H3" s="14" t="n">
        <v>46082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2"/>
      <c r="U3" s="15" t="s">
        <v>1</v>
      </c>
      <c r="V3" s="15"/>
      <c r="W3" s="15"/>
      <c r="X3" s="15"/>
      <c r="Y3" s="9"/>
      <c r="Z3" s="9"/>
      <c r="AA3" s="10"/>
    </row>
    <row r="4" s="29" customFormat="true" ht="93.75" hidden="false" customHeight="true" outlineLevel="0" collapsed="false">
      <c r="A4" s="16" t="s">
        <v>2</v>
      </c>
      <c r="B4" s="17" t="s">
        <v>3</v>
      </c>
      <c r="C4" s="17"/>
      <c r="D4" s="17" t="s">
        <v>4</v>
      </c>
      <c r="E4" s="17"/>
      <c r="F4" s="17" t="s">
        <v>5</v>
      </c>
      <c r="G4" s="17"/>
      <c r="H4" s="17" t="s">
        <v>6</v>
      </c>
      <c r="I4" s="17"/>
      <c r="J4" s="18" t="s">
        <v>7</v>
      </c>
      <c r="K4" s="18"/>
      <c r="L4" s="18" t="s">
        <v>8</v>
      </c>
      <c r="M4" s="18"/>
      <c r="N4" s="19" t="s">
        <v>9</v>
      </c>
      <c r="O4" s="20" t="s">
        <v>10</v>
      </c>
      <c r="P4" s="20"/>
      <c r="Q4" s="21" t="s">
        <v>11</v>
      </c>
      <c r="R4" s="21"/>
      <c r="S4" s="22" t="s">
        <v>12</v>
      </c>
      <c r="T4" s="17"/>
      <c r="U4" s="23" t="s">
        <v>13</v>
      </c>
      <c r="V4" s="24" t="s">
        <v>14</v>
      </c>
      <c r="W4" s="25" t="s">
        <v>15</v>
      </c>
      <c r="X4" s="26" t="s">
        <v>16</v>
      </c>
      <c r="Y4" s="27"/>
      <c r="Z4" s="27"/>
      <c r="AA4" s="28" t="s">
        <v>17</v>
      </c>
    </row>
    <row r="5" s="29" customFormat="true" ht="93.75" hidden="false" customHeight="true" outlineLevel="0" collapsed="false">
      <c r="A5" s="16"/>
      <c r="B5" s="30" t="s">
        <v>18</v>
      </c>
      <c r="C5" s="31" t="s">
        <v>19</v>
      </c>
      <c r="D5" s="30" t="s">
        <v>18</v>
      </c>
      <c r="E5" s="31" t="s">
        <v>19</v>
      </c>
      <c r="F5" s="30" t="s">
        <v>18</v>
      </c>
      <c r="G5" s="31" t="s">
        <v>19</v>
      </c>
      <c r="H5" s="30" t="s">
        <v>18</v>
      </c>
      <c r="I5" s="31" t="s">
        <v>19</v>
      </c>
      <c r="J5" s="30" t="s">
        <v>18</v>
      </c>
      <c r="K5" s="31" t="s">
        <v>19</v>
      </c>
      <c r="L5" s="30" t="s">
        <v>18</v>
      </c>
      <c r="M5" s="31" t="s">
        <v>19</v>
      </c>
      <c r="N5" s="19"/>
      <c r="O5" s="32" t="s">
        <v>20</v>
      </c>
      <c r="P5" s="33" t="s">
        <v>19</v>
      </c>
      <c r="Q5" s="34" t="s">
        <v>21</v>
      </c>
      <c r="R5" s="35" t="s">
        <v>22</v>
      </c>
      <c r="S5" s="30"/>
      <c r="T5" s="31"/>
      <c r="U5" s="36"/>
      <c r="V5" s="37"/>
      <c r="W5" s="38"/>
      <c r="X5" s="39"/>
      <c r="Y5" s="27"/>
      <c r="Z5" s="27"/>
      <c r="AA5" s="28"/>
    </row>
    <row r="6" s="51" customFormat="true" ht="60" hidden="false" customHeight="true" outlineLevel="0" collapsed="false">
      <c r="A6" s="53" t="n">
        <v>46082</v>
      </c>
      <c r="B6" s="54" t="n">
        <v>3</v>
      </c>
      <c r="C6" s="55" t="n">
        <v>14550</v>
      </c>
      <c r="D6" s="55" t="n">
        <v>2.5</v>
      </c>
      <c r="E6" s="55" t="n">
        <v>17550</v>
      </c>
      <c r="F6" s="55"/>
      <c r="G6" s="55"/>
      <c r="H6" s="55" t="n">
        <v>14.5</v>
      </c>
      <c r="I6" s="55" t="n">
        <v>89050</v>
      </c>
      <c r="J6" s="55" t="n">
        <v>1.5</v>
      </c>
      <c r="K6" s="55" t="n">
        <v>10400</v>
      </c>
      <c r="L6" s="55"/>
      <c r="M6" s="55"/>
      <c r="N6" s="55" t="n">
        <v>35</v>
      </c>
      <c r="O6" s="55"/>
      <c r="P6" s="56"/>
      <c r="Q6" s="125" t="n">
        <f aca="false">SUM(B6,D6,H6,F6,J6,L6)</f>
        <v>21.5</v>
      </c>
      <c r="R6" s="126" t="n">
        <f aca="false">SUM(C6,E6,I6,G6,K6,M6)</f>
        <v>131550</v>
      </c>
      <c r="S6" s="59" t="s">
        <v>105</v>
      </c>
      <c r="T6" s="60"/>
      <c r="U6" s="61"/>
      <c r="V6" s="62" t="n">
        <v>13550</v>
      </c>
      <c r="W6" s="63"/>
      <c r="X6" s="103"/>
      <c r="Y6" s="49"/>
      <c r="Z6" s="49"/>
      <c r="AA6" s="65" t="n">
        <f aca="false">C6-V6</f>
        <v>1000</v>
      </c>
      <c r="AC6" s="112"/>
      <c r="AD6" s="66"/>
    </row>
    <row r="7" s="51" customFormat="true" ht="60" hidden="false" customHeight="true" outlineLevel="0" collapsed="false">
      <c r="A7" s="53" t="n">
        <v>46083</v>
      </c>
      <c r="B7" s="54" t="n">
        <v>8</v>
      </c>
      <c r="C7" s="67" t="n">
        <v>32750</v>
      </c>
      <c r="D7" s="67"/>
      <c r="E7" s="55"/>
      <c r="F7" s="67"/>
      <c r="G7" s="67"/>
      <c r="H7" s="67" t="n">
        <v>6.5</v>
      </c>
      <c r="I7" s="55" t="n">
        <v>68350</v>
      </c>
      <c r="J7" s="55"/>
      <c r="K7" s="55"/>
      <c r="L7" s="55"/>
      <c r="M7" s="55"/>
      <c r="N7" s="55" t="n">
        <v>26.5</v>
      </c>
      <c r="O7" s="55"/>
      <c r="P7" s="56"/>
      <c r="Q7" s="125" t="n">
        <f aca="false">SUM(B7,D7,H7,F7,J7,L7)</f>
        <v>14.5</v>
      </c>
      <c r="R7" s="126" t="n">
        <f aca="false">SUM(C7,E7,I7,G7,K7,M7)</f>
        <v>101100</v>
      </c>
      <c r="S7" s="69" t="s">
        <v>106</v>
      </c>
      <c r="T7" s="70"/>
      <c r="U7" s="71"/>
      <c r="V7" s="72" t="n">
        <v>50700</v>
      </c>
      <c r="W7" s="73"/>
      <c r="X7" s="75"/>
      <c r="Y7" s="49"/>
      <c r="Z7" s="49"/>
      <c r="AA7" s="65" t="n">
        <f aca="false">C7-V7</f>
        <v>-17950</v>
      </c>
    </row>
    <row r="8" s="51" customFormat="true" ht="60" hidden="false" customHeight="true" outlineLevel="0" collapsed="false">
      <c r="A8" s="53" t="n">
        <v>46084</v>
      </c>
      <c r="B8" s="54" t="n">
        <v>8.5</v>
      </c>
      <c r="C8" s="67" t="n">
        <v>46200</v>
      </c>
      <c r="D8" s="67" t="n">
        <v>1</v>
      </c>
      <c r="E8" s="55" t="n">
        <v>6100</v>
      </c>
      <c r="F8" s="67"/>
      <c r="G8" s="67"/>
      <c r="H8" s="67" t="n">
        <v>12</v>
      </c>
      <c r="I8" s="55" t="n">
        <v>90800</v>
      </c>
      <c r="J8" s="55"/>
      <c r="K8" s="55"/>
      <c r="L8" s="55"/>
      <c r="M8" s="55"/>
      <c r="N8" s="55" t="n">
        <v>30.5</v>
      </c>
      <c r="O8" s="55"/>
      <c r="P8" s="56"/>
      <c r="Q8" s="125" t="n">
        <f aca="false">SUM(B8,D8,H8,F8,J8,L8)</f>
        <v>21.5</v>
      </c>
      <c r="R8" s="126" t="n">
        <f aca="false">SUM(C8,E8,I8,G8,K8,M8)</f>
        <v>143100</v>
      </c>
      <c r="S8" s="69" t="s">
        <v>107</v>
      </c>
      <c r="T8" s="70"/>
      <c r="U8" s="71"/>
      <c r="V8" s="72" t="n">
        <v>37900</v>
      </c>
      <c r="W8" s="73"/>
      <c r="X8" s="75"/>
      <c r="Y8" s="49"/>
      <c r="Z8" s="49"/>
      <c r="AA8" s="65" t="n">
        <f aca="false">C8-V8</f>
        <v>8300</v>
      </c>
    </row>
    <row r="9" s="51" customFormat="true" ht="60" hidden="false" customHeight="true" outlineLevel="0" collapsed="false">
      <c r="A9" s="53" t="n">
        <v>46085</v>
      </c>
      <c r="B9" s="54" t="n">
        <v>9.5</v>
      </c>
      <c r="C9" s="67" t="n">
        <v>53750</v>
      </c>
      <c r="D9" s="67" t="n">
        <v>4</v>
      </c>
      <c r="E9" s="55" t="n">
        <v>21800</v>
      </c>
      <c r="F9" s="67"/>
      <c r="G9" s="67"/>
      <c r="H9" s="67" t="n">
        <v>12.5</v>
      </c>
      <c r="I9" s="55" t="n">
        <v>86800</v>
      </c>
      <c r="J9" s="55"/>
      <c r="K9" s="55"/>
      <c r="L9" s="55"/>
      <c r="M9" s="55"/>
      <c r="N9" s="55" t="n">
        <v>36.5</v>
      </c>
      <c r="O9" s="55" t="n">
        <v>2</v>
      </c>
      <c r="P9" s="56" t="n">
        <v>9300</v>
      </c>
      <c r="Q9" s="125" t="n">
        <f aca="false">SUM(B9,D9,H9,F9,J9,L9)</f>
        <v>26</v>
      </c>
      <c r="R9" s="126" t="n">
        <f aca="false">SUM(C9,E9,I9,G9,K9,M9)</f>
        <v>162350</v>
      </c>
      <c r="S9" s="69" t="s">
        <v>106</v>
      </c>
      <c r="T9" s="70"/>
      <c r="U9" s="71"/>
      <c r="V9" s="72" t="n">
        <v>39500</v>
      </c>
      <c r="W9" s="73"/>
      <c r="X9" s="75"/>
      <c r="Y9" s="49"/>
      <c r="Z9" s="49"/>
      <c r="AA9" s="65" t="n">
        <f aca="false">C9-V9</f>
        <v>14250</v>
      </c>
    </row>
    <row r="10" s="51" customFormat="true" ht="60" hidden="false" customHeight="true" outlineLevel="0" collapsed="false">
      <c r="A10" s="53" t="n">
        <v>46086</v>
      </c>
      <c r="B10" s="54" t="n">
        <v>5</v>
      </c>
      <c r="C10" s="67" t="n">
        <v>18800</v>
      </c>
      <c r="D10" s="67"/>
      <c r="E10" s="55"/>
      <c r="F10" s="67"/>
      <c r="G10" s="67"/>
      <c r="H10" s="67" t="n">
        <v>14</v>
      </c>
      <c r="I10" s="55" t="n">
        <v>96750</v>
      </c>
      <c r="J10" s="55"/>
      <c r="K10" s="55"/>
      <c r="L10" s="55"/>
      <c r="M10" s="55"/>
      <c r="N10" s="55" t="n">
        <v>23</v>
      </c>
      <c r="O10" s="55"/>
      <c r="P10" s="56"/>
      <c r="Q10" s="125" t="n">
        <f aca="false">SUM(B10,D10,H10,F10,J10,L10)</f>
        <v>19</v>
      </c>
      <c r="R10" s="126" t="n">
        <f aca="false">SUM(C10,E10,I10,G10,K10,M10)</f>
        <v>115550</v>
      </c>
      <c r="S10" s="69" t="s">
        <v>108</v>
      </c>
      <c r="T10" s="70"/>
      <c r="U10" s="71"/>
      <c r="V10" s="72" t="n">
        <v>18250</v>
      </c>
      <c r="W10" s="73"/>
      <c r="X10" s="75"/>
      <c r="Y10" s="49"/>
      <c r="Z10" s="49"/>
      <c r="AA10" s="65" t="n">
        <f aca="false">C10-V10</f>
        <v>550</v>
      </c>
    </row>
    <row r="11" s="51" customFormat="true" ht="60" hidden="false" customHeight="true" outlineLevel="0" collapsed="false">
      <c r="A11" s="53" t="n">
        <v>46087</v>
      </c>
      <c r="B11" s="54" t="n">
        <v>1</v>
      </c>
      <c r="C11" s="67" t="n">
        <v>6350</v>
      </c>
      <c r="D11" s="67" t="n">
        <v>1.5</v>
      </c>
      <c r="E11" s="55" t="n">
        <v>16100</v>
      </c>
      <c r="F11" s="67"/>
      <c r="G11" s="67"/>
      <c r="H11" s="67" t="n">
        <v>23</v>
      </c>
      <c r="I11" s="55" t="n">
        <v>109000</v>
      </c>
      <c r="J11" s="55" t="n">
        <v>1</v>
      </c>
      <c r="K11" s="55" t="n">
        <v>610</v>
      </c>
      <c r="L11" s="55"/>
      <c r="M11" s="55"/>
      <c r="N11" s="55" t="n">
        <v>36</v>
      </c>
      <c r="O11" s="55"/>
      <c r="P11" s="56"/>
      <c r="Q11" s="125" t="n">
        <f aca="false">SUM(B11,D11,H11,F11,J11,L11)</f>
        <v>26.5</v>
      </c>
      <c r="R11" s="126" t="n">
        <f aca="false">SUM(C11,E11,I11,G11,K11,M11)</f>
        <v>132060</v>
      </c>
      <c r="S11" s="69" t="s">
        <v>109</v>
      </c>
      <c r="T11" s="70"/>
      <c r="U11" s="71"/>
      <c r="V11" s="72" t="n">
        <v>7000</v>
      </c>
      <c r="W11" s="73"/>
      <c r="X11" s="74"/>
      <c r="Y11" s="49"/>
      <c r="Z11" s="49"/>
      <c r="AA11" s="65" t="n">
        <f aca="false">C11-V11</f>
        <v>-650</v>
      </c>
    </row>
    <row r="12" s="51" customFormat="true" ht="60" hidden="false" customHeight="true" outlineLevel="0" collapsed="false">
      <c r="A12" s="53" t="n">
        <v>46088</v>
      </c>
      <c r="B12" s="54" t="n">
        <v>7.5</v>
      </c>
      <c r="C12" s="67" t="n">
        <v>34150</v>
      </c>
      <c r="D12" s="67" t="n">
        <v>5</v>
      </c>
      <c r="E12" s="55" t="n">
        <v>36250</v>
      </c>
      <c r="F12" s="67"/>
      <c r="G12" s="67"/>
      <c r="H12" s="67" t="n">
        <v>9</v>
      </c>
      <c r="I12" s="55" t="n">
        <v>65950</v>
      </c>
      <c r="J12" s="55"/>
      <c r="K12" s="55"/>
      <c r="L12" s="55"/>
      <c r="M12" s="55"/>
      <c r="N12" s="55" t="n">
        <v>35</v>
      </c>
      <c r="O12" s="55"/>
      <c r="P12" s="56"/>
      <c r="Q12" s="125" t="n">
        <f aca="false">SUM(B12,D12,H12,F12,J12,L12)</f>
        <v>21.5</v>
      </c>
      <c r="R12" s="126" t="n">
        <f aca="false">SUM(C12,E12,I12,G12,K12,M12)</f>
        <v>136350</v>
      </c>
      <c r="S12" s="69" t="s">
        <v>109</v>
      </c>
      <c r="T12" s="70"/>
      <c r="U12" s="71"/>
      <c r="V12" s="72" t="n">
        <v>34750</v>
      </c>
      <c r="W12" s="73"/>
      <c r="X12" s="75"/>
      <c r="Y12" s="49"/>
      <c r="Z12" s="49"/>
      <c r="AA12" s="65" t="n">
        <f aca="false">C12-V12</f>
        <v>-600</v>
      </c>
    </row>
    <row r="13" s="51" customFormat="true" ht="60" hidden="false" customHeight="true" outlineLevel="0" collapsed="false">
      <c r="A13" s="53" t="n">
        <v>46089</v>
      </c>
      <c r="B13" s="54" t="n">
        <v>2</v>
      </c>
      <c r="C13" s="67" t="n">
        <v>12700</v>
      </c>
      <c r="D13" s="67" t="n">
        <v>4.5</v>
      </c>
      <c r="E13" s="55" t="n">
        <v>26850</v>
      </c>
      <c r="F13" s="67"/>
      <c r="G13" s="67"/>
      <c r="H13" s="67" t="n">
        <v>20.5</v>
      </c>
      <c r="I13" s="55" t="n">
        <v>120050</v>
      </c>
      <c r="J13" s="55"/>
      <c r="K13" s="55"/>
      <c r="L13" s="55"/>
      <c r="M13" s="55"/>
      <c r="N13" s="55" t="n">
        <v>30</v>
      </c>
      <c r="O13" s="55" t="n">
        <v>2</v>
      </c>
      <c r="P13" s="56" t="n">
        <v>12900</v>
      </c>
      <c r="Q13" s="125" t="n">
        <f aca="false">SUM(B13,D13,H13,F13,J13,L13)</f>
        <v>27</v>
      </c>
      <c r="R13" s="126" t="n">
        <f aca="false">SUM(C13,E13,I13,G13,K13,M13)</f>
        <v>159600</v>
      </c>
      <c r="S13" s="69" t="s">
        <v>106</v>
      </c>
      <c r="T13" s="70"/>
      <c r="U13" s="71"/>
      <c r="V13" s="72" t="n">
        <v>11450</v>
      </c>
      <c r="W13" s="73"/>
      <c r="X13" s="75"/>
      <c r="Y13" s="49"/>
      <c r="Z13" s="49"/>
      <c r="AA13" s="65" t="n">
        <f aca="false">C13-V13</f>
        <v>1250</v>
      </c>
    </row>
    <row r="14" s="51" customFormat="true" ht="60" hidden="false" customHeight="true" outlineLevel="0" collapsed="false">
      <c r="A14" s="53" t="n">
        <v>46090</v>
      </c>
      <c r="B14" s="54" t="n">
        <v>5</v>
      </c>
      <c r="C14" s="67" t="n">
        <v>15850</v>
      </c>
      <c r="D14" s="67" t="n">
        <v>1</v>
      </c>
      <c r="E14" s="55" t="n">
        <v>6200</v>
      </c>
      <c r="F14" s="67"/>
      <c r="G14" s="67"/>
      <c r="H14" s="67" t="n">
        <v>13.5</v>
      </c>
      <c r="I14" s="55" t="n">
        <v>61250</v>
      </c>
      <c r="J14" s="55"/>
      <c r="K14" s="55"/>
      <c r="L14" s="55"/>
      <c r="M14" s="55"/>
      <c r="N14" s="55" t="n">
        <v>19</v>
      </c>
      <c r="O14" s="55"/>
      <c r="P14" s="56"/>
      <c r="Q14" s="125" t="n">
        <f aca="false">SUM(B14,D14,H14,F14,J14,L14)</f>
        <v>19.5</v>
      </c>
      <c r="R14" s="126" t="n">
        <f aca="false">SUM(C14,E14,I14,G14,K14,M14)</f>
        <v>83300</v>
      </c>
      <c r="S14" s="69" t="s">
        <v>106</v>
      </c>
      <c r="T14" s="70"/>
      <c r="U14" s="71"/>
      <c r="V14" s="72" t="n">
        <v>21100</v>
      </c>
      <c r="W14" s="73"/>
      <c r="X14" s="75"/>
      <c r="Y14" s="49"/>
      <c r="Z14" s="49"/>
      <c r="AA14" s="65" t="n">
        <f aca="false">C14-V14</f>
        <v>-5250</v>
      </c>
    </row>
    <row r="15" s="51" customFormat="true" ht="60" hidden="false" customHeight="true" outlineLevel="0" collapsed="false">
      <c r="A15" s="53" t="n">
        <v>46091</v>
      </c>
      <c r="B15" s="54" t="n">
        <v>3</v>
      </c>
      <c r="C15" s="67" t="n">
        <v>22950</v>
      </c>
      <c r="D15" s="67" t="n">
        <v>1.5</v>
      </c>
      <c r="E15" s="55" t="n">
        <v>7400</v>
      </c>
      <c r="F15" s="67"/>
      <c r="G15" s="67"/>
      <c r="H15" s="67" t="n">
        <v>12.5</v>
      </c>
      <c r="I15" s="55" t="n">
        <v>80400</v>
      </c>
      <c r="J15" s="55"/>
      <c r="K15" s="55"/>
      <c r="L15" s="55"/>
      <c r="M15" s="55"/>
      <c r="N15" s="55" t="n">
        <v>15.5</v>
      </c>
      <c r="O15" s="55"/>
      <c r="P15" s="56"/>
      <c r="Q15" s="125" t="n">
        <f aca="false">SUM(B15,D15,H15,F15,J15,L15)</f>
        <v>17</v>
      </c>
      <c r="R15" s="126" t="n">
        <f aca="false">SUM(C15,E15,I15,G15,K15,M15)</f>
        <v>110750</v>
      </c>
      <c r="S15" s="69" t="s">
        <v>106</v>
      </c>
      <c r="T15" s="70"/>
      <c r="U15" s="71"/>
      <c r="V15" s="72" t="n">
        <v>21550</v>
      </c>
      <c r="W15" s="73"/>
      <c r="X15" s="75"/>
      <c r="Y15" s="49"/>
      <c r="Z15" s="49"/>
      <c r="AA15" s="65" t="n">
        <f aca="false">C15-V15</f>
        <v>1400</v>
      </c>
    </row>
    <row r="16" s="51" customFormat="true" ht="60" hidden="false" customHeight="true" outlineLevel="0" collapsed="false">
      <c r="A16" s="53" t="n">
        <v>46092</v>
      </c>
      <c r="B16" s="54" t="n">
        <v>4</v>
      </c>
      <c r="C16" s="67" t="n">
        <v>20450</v>
      </c>
      <c r="D16" s="67" t="n">
        <v>2</v>
      </c>
      <c r="E16" s="55" t="n">
        <v>7800</v>
      </c>
      <c r="F16" s="67"/>
      <c r="G16" s="67"/>
      <c r="H16" s="67" t="n">
        <v>11.5</v>
      </c>
      <c r="I16" s="55" t="n">
        <v>101050</v>
      </c>
      <c r="J16" s="55"/>
      <c r="K16" s="55"/>
      <c r="L16" s="55"/>
      <c r="M16" s="55"/>
      <c r="N16" s="55" t="n">
        <v>27</v>
      </c>
      <c r="O16" s="55"/>
      <c r="P16" s="56"/>
      <c r="Q16" s="125" t="n">
        <f aca="false">SUM(B16,D16,H16,F16,J16,L16)</f>
        <v>17.5</v>
      </c>
      <c r="R16" s="126" t="n">
        <f aca="false">SUM(C16,E16,I16,G16,K16,M16)</f>
        <v>129300</v>
      </c>
      <c r="S16" s="69" t="s">
        <v>108</v>
      </c>
      <c r="T16" s="70"/>
      <c r="U16" s="71"/>
      <c r="V16" s="72" t="n">
        <v>18200</v>
      </c>
      <c r="W16" s="73"/>
      <c r="X16" s="75"/>
      <c r="Y16" s="49"/>
      <c r="Z16" s="49"/>
      <c r="AA16" s="65" t="n">
        <f aca="false">C16-V16</f>
        <v>2250</v>
      </c>
    </row>
    <row r="17" s="51" customFormat="true" ht="60" hidden="false" customHeight="true" outlineLevel="0" collapsed="false">
      <c r="A17" s="53" t="n">
        <v>46093</v>
      </c>
      <c r="B17" s="54" t="n">
        <v>1</v>
      </c>
      <c r="C17" s="67" t="n">
        <v>5750</v>
      </c>
      <c r="D17" s="67" t="n">
        <v>2</v>
      </c>
      <c r="E17" s="55" t="n">
        <v>17800</v>
      </c>
      <c r="F17" s="67"/>
      <c r="G17" s="67"/>
      <c r="H17" s="67" t="n">
        <v>11.5</v>
      </c>
      <c r="I17" s="55" t="n">
        <v>81350</v>
      </c>
      <c r="J17" s="55"/>
      <c r="K17" s="55"/>
      <c r="L17" s="55"/>
      <c r="M17" s="55"/>
      <c r="N17" s="55" t="n">
        <v>22</v>
      </c>
      <c r="O17" s="55"/>
      <c r="P17" s="56"/>
      <c r="Q17" s="125" t="n">
        <f aca="false">SUM(B17,D17,H17,F17,J17,L17)</f>
        <v>14.5</v>
      </c>
      <c r="R17" s="126" t="n">
        <f aca="false">SUM(C17,E17,I17,G17,K17,M17)</f>
        <v>104900</v>
      </c>
      <c r="S17" s="69" t="s">
        <v>106</v>
      </c>
      <c r="T17" s="70"/>
      <c r="U17" s="71"/>
      <c r="V17" s="72" t="n">
        <v>4650</v>
      </c>
      <c r="W17" s="73"/>
      <c r="X17" s="74"/>
      <c r="Y17" s="49"/>
      <c r="Z17" s="49"/>
      <c r="AA17" s="65" t="n">
        <f aca="false">C17-V17</f>
        <v>1100</v>
      </c>
    </row>
    <row r="18" s="51" customFormat="true" ht="60" hidden="false" customHeight="true" outlineLevel="0" collapsed="false">
      <c r="A18" s="53" t="n">
        <v>46094</v>
      </c>
      <c r="B18" s="54" t="n">
        <v>1</v>
      </c>
      <c r="C18" s="67" t="n">
        <v>5200</v>
      </c>
      <c r="D18" s="67"/>
      <c r="E18" s="55"/>
      <c r="F18" s="67"/>
      <c r="G18" s="67"/>
      <c r="H18" s="67" t="n">
        <v>21.5</v>
      </c>
      <c r="I18" s="55" t="n">
        <v>188150</v>
      </c>
      <c r="J18" s="55"/>
      <c r="K18" s="55"/>
      <c r="L18" s="55"/>
      <c r="M18" s="55"/>
      <c r="N18" s="55" t="n">
        <v>38.5</v>
      </c>
      <c r="O18" s="55"/>
      <c r="P18" s="56"/>
      <c r="Q18" s="125" t="n">
        <f aca="false">SUM(B18,D18,H18,F18,J18,L18)</f>
        <v>22.5</v>
      </c>
      <c r="R18" s="126" t="n">
        <f aca="false">SUM(C18,E18,I18,G18,K18,M18)</f>
        <v>193350</v>
      </c>
      <c r="S18" s="69" t="s">
        <v>108</v>
      </c>
      <c r="T18" s="70"/>
      <c r="U18" s="71"/>
      <c r="V18" s="72" t="n">
        <v>5300</v>
      </c>
      <c r="W18" s="73"/>
      <c r="X18" s="75"/>
      <c r="Y18" s="49"/>
      <c r="Z18" s="49"/>
      <c r="AA18" s="65" t="n">
        <f aca="false">C18-V18</f>
        <v>-100</v>
      </c>
    </row>
    <row r="19" s="51" customFormat="true" ht="60" hidden="false" customHeight="true" outlineLevel="0" collapsed="false">
      <c r="A19" s="53" t="n">
        <v>46095</v>
      </c>
      <c r="B19" s="54" t="n">
        <v>3.5</v>
      </c>
      <c r="C19" s="67" t="n">
        <v>14050</v>
      </c>
      <c r="D19" s="67" t="n">
        <v>2.5</v>
      </c>
      <c r="E19" s="55" t="n">
        <v>11100</v>
      </c>
      <c r="F19" s="67"/>
      <c r="G19" s="67"/>
      <c r="H19" s="67" t="n">
        <v>18</v>
      </c>
      <c r="I19" s="55" t="n">
        <v>112950</v>
      </c>
      <c r="J19" s="55"/>
      <c r="K19" s="55"/>
      <c r="L19" s="55"/>
      <c r="M19" s="55"/>
      <c r="N19" s="55" t="n">
        <v>49.5</v>
      </c>
      <c r="O19" s="55"/>
      <c r="P19" s="56"/>
      <c r="Q19" s="125" t="n">
        <f aca="false">SUM(B19,D19,H19,F19,J19,L19)</f>
        <v>24</v>
      </c>
      <c r="R19" s="126" t="n">
        <f aca="false">SUM(C19,E19,I19,G19,K19,M19)</f>
        <v>138100</v>
      </c>
      <c r="S19" s="69" t="s">
        <v>106</v>
      </c>
      <c r="T19" s="70"/>
      <c r="U19" s="71"/>
      <c r="V19" s="72" t="n">
        <v>14400</v>
      </c>
      <c r="W19" s="73"/>
      <c r="X19" s="75"/>
      <c r="Y19" s="49"/>
      <c r="Z19" s="49"/>
      <c r="AA19" s="65" t="n">
        <f aca="false">C19-V19</f>
        <v>-350</v>
      </c>
    </row>
    <row r="20" s="51" customFormat="true" ht="60" hidden="false" customHeight="true" outlineLevel="0" collapsed="false">
      <c r="A20" s="53" t="n">
        <v>46096</v>
      </c>
      <c r="B20" s="54" t="n">
        <v>1</v>
      </c>
      <c r="C20" s="67" t="n">
        <v>14300</v>
      </c>
      <c r="D20" s="67" t="n">
        <v>1</v>
      </c>
      <c r="E20" s="55" t="n">
        <v>10150</v>
      </c>
      <c r="F20" s="67"/>
      <c r="G20" s="67"/>
      <c r="H20" s="67" t="n">
        <v>21</v>
      </c>
      <c r="I20" s="55" t="n">
        <v>103250</v>
      </c>
      <c r="J20" s="55" t="n">
        <v>2.5</v>
      </c>
      <c r="K20" s="55" t="n">
        <v>8850</v>
      </c>
      <c r="L20" s="55"/>
      <c r="M20" s="55"/>
      <c r="N20" s="55" t="n">
        <v>24.5</v>
      </c>
      <c r="O20" s="55" t="n">
        <v>2.5</v>
      </c>
      <c r="P20" s="56" t="n">
        <v>7000</v>
      </c>
      <c r="Q20" s="125" t="n">
        <f aca="false">SUM(B20,D20,H20,F20,J20,L20)</f>
        <v>25.5</v>
      </c>
      <c r="R20" s="126" t="n">
        <f aca="false">SUM(C20,E20,I20,G20,K20,M20)</f>
        <v>136550</v>
      </c>
      <c r="S20" s="69" t="s">
        <v>106</v>
      </c>
      <c r="T20" s="70"/>
      <c r="U20" s="71"/>
      <c r="V20" s="72" t="n">
        <v>14600</v>
      </c>
      <c r="W20" s="73"/>
      <c r="X20" s="75"/>
      <c r="Y20" s="49"/>
      <c r="Z20" s="49"/>
      <c r="AA20" s="65" t="n">
        <f aca="false">C20-V20</f>
        <v>-300</v>
      </c>
    </row>
    <row r="21" s="51" customFormat="true" ht="60" hidden="false" customHeight="true" outlineLevel="0" collapsed="false">
      <c r="A21" s="53" t="n">
        <v>46097</v>
      </c>
      <c r="B21" s="54" t="n">
        <v>3.5</v>
      </c>
      <c r="C21" s="67" t="n">
        <v>34150</v>
      </c>
      <c r="D21" s="67"/>
      <c r="E21" s="55"/>
      <c r="F21" s="67"/>
      <c r="G21" s="67"/>
      <c r="H21" s="67" t="n">
        <v>14</v>
      </c>
      <c r="I21" s="55" t="n">
        <v>84250</v>
      </c>
      <c r="J21" s="55"/>
      <c r="K21" s="55"/>
      <c r="L21" s="55"/>
      <c r="M21" s="55"/>
      <c r="N21" s="55" t="n">
        <v>34</v>
      </c>
      <c r="O21" s="55"/>
      <c r="P21" s="56"/>
      <c r="Q21" s="125" t="n">
        <f aca="false">SUM(B21,D21,H21,F21,J21,L21)</f>
        <v>17.5</v>
      </c>
      <c r="R21" s="126" t="n">
        <f aca="false">SUM(C21,E21,I21,G21,K21,M21)</f>
        <v>118400</v>
      </c>
      <c r="S21" s="69" t="s">
        <v>109</v>
      </c>
      <c r="T21" s="70"/>
      <c r="U21" s="71"/>
      <c r="V21" s="72" t="n">
        <v>24600</v>
      </c>
      <c r="W21" s="73"/>
      <c r="X21" s="75"/>
      <c r="Y21" s="49"/>
      <c r="Z21" s="49"/>
      <c r="AA21" s="65" t="n">
        <f aca="false">C21-V21</f>
        <v>9550</v>
      </c>
    </row>
    <row r="22" s="51" customFormat="true" ht="60" hidden="false" customHeight="true" outlineLevel="0" collapsed="false">
      <c r="A22" s="53" t="n">
        <v>46098</v>
      </c>
      <c r="B22" s="127" t="n">
        <v>1.5</v>
      </c>
      <c r="C22" s="128" t="n">
        <v>12700</v>
      </c>
      <c r="D22" s="67"/>
      <c r="E22" s="55" t="n">
        <v>2450</v>
      </c>
      <c r="F22" s="67"/>
      <c r="G22" s="67"/>
      <c r="H22" s="67" t="n">
        <v>10</v>
      </c>
      <c r="I22" s="55" t="n">
        <v>40300</v>
      </c>
      <c r="J22" s="55"/>
      <c r="K22" s="55"/>
      <c r="L22" s="55"/>
      <c r="M22" s="55"/>
      <c r="N22" s="55" t="n">
        <v>22.5</v>
      </c>
      <c r="O22" s="55" t="n">
        <v>9</v>
      </c>
      <c r="P22" s="56" t="n">
        <v>47250</v>
      </c>
      <c r="Q22" s="125" t="n">
        <f aca="false">SUM(B22,D22,H22,F22,J22,L22)</f>
        <v>11.5</v>
      </c>
      <c r="R22" s="126" t="n">
        <f aca="false">SUM(C22,E22,I22,G22,K22,M22)</f>
        <v>55450</v>
      </c>
      <c r="S22" s="69" t="s">
        <v>108</v>
      </c>
      <c r="T22" s="70"/>
      <c r="U22" s="71"/>
      <c r="V22" s="72" t="n">
        <v>10800</v>
      </c>
      <c r="W22" s="73"/>
      <c r="X22" s="129" t="s">
        <v>110</v>
      </c>
      <c r="Y22" s="49"/>
      <c r="Z22" s="49"/>
      <c r="AA22" s="65" t="n">
        <f aca="false">C22-V22</f>
        <v>1900</v>
      </c>
    </row>
    <row r="23" s="51" customFormat="true" ht="60" hidden="false" customHeight="true" outlineLevel="0" collapsed="false">
      <c r="A23" s="53" t="n">
        <v>46099</v>
      </c>
      <c r="B23" s="54" t="n">
        <v>1</v>
      </c>
      <c r="C23" s="67" t="n">
        <v>6300</v>
      </c>
      <c r="D23" s="67" t="n">
        <v>1</v>
      </c>
      <c r="E23" s="55" t="n">
        <v>5000</v>
      </c>
      <c r="F23" s="67"/>
      <c r="G23" s="67"/>
      <c r="H23" s="67" t="n">
        <v>10.5</v>
      </c>
      <c r="I23" s="55" t="n">
        <v>93950</v>
      </c>
      <c r="J23" s="55"/>
      <c r="K23" s="55"/>
      <c r="L23" s="55"/>
      <c r="M23" s="55"/>
      <c r="N23" s="55" t="n">
        <v>13</v>
      </c>
      <c r="O23" s="55" t="n">
        <v>4</v>
      </c>
      <c r="P23" s="56" t="n">
        <v>6950</v>
      </c>
      <c r="Q23" s="125" t="n">
        <f aca="false">SUM(B23,D23,H23,F23,J23,L23)</f>
        <v>12.5</v>
      </c>
      <c r="R23" s="126" t="n">
        <f aca="false">SUM(C23,E23,I23,G23,K23,M23)</f>
        <v>105250</v>
      </c>
      <c r="S23" s="69" t="s">
        <v>106</v>
      </c>
      <c r="T23" s="70"/>
      <c r="U23" s="71"/>
      <c r="V23" s="72" t="n">
        <v>8200</v>
      </c>
      <c r="W23" s="73"/>
      <c r="X23" s="75" t="s">
        <v>111</v>
      </c>
      <c r="Y23" s="49"/>
      <c r="Z23" s="49"/>
      <c r="AA23" s="65" t="n">
        <f aca="false">C23-V23</f>
        <v>-1900</v>
      </c>
    </row>
    <row r="24" s="51" customFormat="true" ht="60" hidden="false" customHeight="true" outlineLevel="0" collapsed="false">
      <c r="A24" s="53" t="n">
        <v>46100</v>
      </c>
      <c r="B24" s="76" t="n">
        <v>4</v>
      </c>
      <c r="C24" s="67" t="n">
        <v>23700</v>
      </c>
      <c r="D24" s="67" t="n">
        <v>1</v>
      </c>
      <c r="E24" s="55" t="n">
        <v>3800</v>
      </c>
      <c r="F24" s="67"/>
      <c r="G24" s="67"/>
      <c r="H24" s="67" t="n">
        <v>13</v>
      </c>
      <c r="I24" s="55" t="n">
        <v>89500</v>
      </c>
      <c r="J24" s="55"/>
      <c r="K24" s="55"/>
      <c r="L24" s="55"/>
      <c r="M24" s="55"/>
      <c r="N24" s="55" t="n">
        <v>19</v>
      </c>
      <c r="O24" s="55"/>
      <c r="P24" s="56"/>
      <c r="Q24" s="125" t="n">
        <f aca="false">SUM(B24,D24,H24,F24,J24,L24)</f>
        <v>18</v>
      </c>
      <c r="R24" s="126" t="n">
        <f aca="false">SUM(C24,E24,I24,G24,K24,M24)</f>
        <v>117000</v>
      </c>
      <c r="S24" s="69" t="s">
        <v>108</v>
      </c>
      <c r="T24" s="70"/>
      <c r="U24" s="71"/>
      <c r="V24" s="72" t="n">
        <v>19800</v>
      </c>
      <c r="W24" s="73"/>
      <c r="X24" s="75"/>
      <c r="Y24" s="49"/>
      <c r="Z24" s="49"/>
      <c r="AA24" s="65" t="n">
        <f aca="false">C24-V24</f>
        <v>3900</v>
      </c>
    </row>
    <row r="25" s="51" customFormat="true" ht="60" hidden="false" customHeight="true" outlineLevel="0" collapsed="false">
      <c r="A25" s="53" t="n">
        <v>46101</v>
      </c>
      <c r="B25" s="76" t="n">
        <v>5.5</v>
      </c>
      <c r="C25" s="67" t="n">
        <v>23700</v>
      </c>
      <c r="D25" s="67" t="n">
        <v>3</v>
      </c>
      <c r="E25" s="55" t="n">
        <v>11850</v>
      </c>
      <c r="F25" s="67"/>
      <c r="G25" s="67"/>
      <c r="H25" s="67" t="n">
        <v>25</v>
      </c>
      <c r="I25" s="55" t="n">
        <v>163000</v>
      </c>
      <c r="J25" s="55"/>
      <c r="K25" s="55"/>
      <c r="L25" s="55"/>
      <c r="M25" s="55"/>
      <c r="N25" s="55" t="n">
        <v>40</v>
      </c>
      <c r="O25" s="55"/>
      <c r="P25" s="56"/>
      <c r="Q25" s="125" t="n">
        <f aca="false">SUM(B25,D25,H25,F25,J25,L25)</f>
        <v>33.5</v>
      </c>
      <c r="R25" s="126" t="n">
        <f aca="false">SUM(C25,E25,I25,G25,K25,M25)</f>
        <v>198550</v>
      </c>
      <c r="S25" s="69" t="s">
        <v>109</v>
      </c>
      <c r="T25" s="70"/>
      <c r="U25" s="71"/>
      <c r="V25" s="72" t="n">
        <v>31650</v>
      </c>
      <c r="W25" s="73"/>
      <c r="X25" s="75"/>
      <c r="Y25" s="49"/>
      <c r="Z25" s="49"/>
      <c r="AA25" s="65" t="n">
        <f aca="false">C25-V25</f>
        <v>-7950</v>
      </c>
    </row>
    <row r="26" s="51" customFormat="true" ht="60" hidden="false" customHeight="true" outlineLevel="0" collapsed="false">
      <c r="A26" s="53" t="n">
        <v>46102</v>
      </c>
      <c r="B26" s="76" t="n">
        <v>7.5</v>
      </c>
      <c r="C26" s="67" t="n">
        <v>42300</v>
      </c>
      <c r="D26" s="67" t="n">
        <v>3.5</v>
      </c>
      <c r="E26" s="55" t="n">
        <v>21800</v>
      </c>
      <c r="F26" s="67"/>
      <c r="G26" s="67"/>
      <c r="H26" s="67" t="n">
        <v>15.5</v>
      </c>
      <c r="I26" s="55" t="n">
        <v>164950</v>
      </c>
      <c r="J26" s="55"/>
      <c r="K26" s="55"/>
      <c r="L26" s="55"/>
      <c r="M26" s="55"/>
      <c r="N26" s="55" t="n">
        <v>46.5</v>
      </c>
      <c r="O26" s="55"/>
      <c r="P26" s="56"/>
      <c r="Q26" s="125" t="n">
        <f aca="false">SUM(B26,D26,H26,F26,J26,L26)</f>
        <v>26.5</v>
      </c>
      <c r="R26" s="126" t="n">
        <f aca="false">SUM(C26,E26,I26,G26,K26,M26)</f>
        <v>229050</v>
      </c>
      <c r="S26" s="69" t="s">
        <v>108</v>
      </c>
      <c r="T26" s="70"/>
      <c r="U26" s="71"/>
      <c r="V26" s="72" t="n">
        <v>65450</v>
      </c>
      <c r="W26" s="73"/>
      <c r="X26" s="75"/>
      <c r="Y26" s="49"/>
      <c r="Z26" s="49"/>
      <c r="AA26" s="65" t="n">
        <f aca="false">C26-V26</f>
        <v>-23150</v>
      </c>
    </row>
    <row r="27" s="51" customFormat="true" ht="60" hidden="false" customHeight="true" outlineLevel="0" collapsed="false">
      <c r="A27" s="53" t="n">
        <v>46103</v>
      </c>
      <c r="B27" s="76" t="n">
        <v>4</v>
      </c>
      <c r="C27" s="67" t="n">
        <v>19900</v>
      </c>
      <c r="D27" s="67" t="n">
        <v>1</v>
      </c>
      <c r="E27" s="55" t="n">
        <v>4900</v>
      </c>
      <c r="F27" s="67"/>
      <c r="G27" s="67"/>
      <c r="H27" s="67" t="n">
        <v>11.5</v>
      </c>
      <c r="I27" s="55" t="n">
        <v>79300</v>
      </c>
      <c r="J27" s="55"/>
      <c r="K27" s="55"/>
      <c r="L27" s="55"/>
      <c r="M27" s="55"/>
      <c r="N27" s="55" t="n">
        <v>30</v>
      </c>
      <c r="O27" s="55" t="n">
        <v>1.5</v>
      </c>
      <c r="P27" s="56" t="n">
        <v>8150</v>
      </c>
      <c r="Q27" s="125" t="n">
        <f aca="false">SUM(B27,D27,H27,F27,J27,L27)</f>
        <v>16.5</v>
      </c>
      <c r="R27" s="126" t="n">
        <f aca="false">SUM(C27,E27,I27,G27,K27,M27)</f>
        <v>104100</v>
      </c>
      <c r="S27" s="69" t="s">
        <v>108</v>
      </c>
      <c r="T27" s="70"/>
      <c r="U27" s="71"/>
      <c r="V27" s="72" t="n">
        <v>20800</v>
      </c>
      <c r="W27" s="73"/>
      <c r="X27" s="75"/>
      <c r="Y27" s="49"/>
      <c r="Z27" s="49"/>
      <c r="AA27" s="65" t="n">
        <f aca="false">C27-V27</f>
        <v>-900</v>
      </c>
    </row>
    <row r="28" s="51" customFormat="true" ht="60" hidden="false" customHeight="true" outlineLevel="0" collapsed="false">
      <c r="A28" s="53" t="n">
        <v>46104</v>
      </c>
      <c r="B28" s="76" t="n">
        <v>4</v>
      </c>
      <c r="C28" s="67" t="n">
        <v>27000</v>
      </c>
      <c r="D28" s="67" t="n">
        <v>4</v>
      </c>
      <c r="E28" s="55" t="n">
        <v>25000</v>
      </c>
      <c r="F28" s="67"/>
      <c r="G28" s="67"/>
      <c r="H28" s="67" t="n">
        <v>24</v>
      </c>
      <c r="I28" s="55" t="n">
        <v>112650</v>
      </c>
      <c r="J28" s="55"/>
      <c r="K28" s="55"/>
      <c r="L28" s="55"/>
      <c r="M28" s="55"/>
      <c r="N28" s="55" t="n">
        <v>45</v>
      </c>
      <c r="O28" s="55" t="n">
        <v>2.5</v>
      </c>
      <c r="P28" s="56" t="n">
        <v>3750</v>
      </c>
      <c r="Q28" s="125" t="n">
        <f aca="false">SUM(B28,D28,H28,F28,J28,L28)</f>
        <v>32</v>
      </c>
      <c r="R28" s="126" t="n">
        <f aca="false">SUM(C28,E28,I28,G28,K28,M28)</f>
        <v>164650</v>
      </c>
      <c r="S28" s="69" t="s">
        <v>106</v>
      </c>
      <c r="T28" s="70"/>
      <c r="U28" s="71"/>
      <c r="V28" s="72" t="n">
        <v>25700</v>
      </c>
      <c r="W28" s="73"/>
      <c r="X28" s="75"/>
      <c r="Y28" s="49"/>
      <c r="Z28" s="49"/>
      <c r="AA28" s="65" t="n">
        <f aca="false">C28-V28</f>
        <v>1300</v>
      </c>
    </row>
    <row r="29" s="51" customFormat="true" ht="60" hidden="false" customHeight="true" outlineLevel="0" collapsed="false">
      <c r="A29" s="53" t="n">
        <v>46105</v>
      </c>
      <c r="B29" s="76" t="n">
        <v>6.5</v>
      </c>
      <c r="C29" s="67" t="n">
        <v>41200</v>
      </c>
      <c r="D29" s="67" t="n">
        <v>2</v>
      </c>
      <c r="E29" s="55" t="n">
        <v>13750</v>
      </c>
      <c r="F29" s="67"/>
      <c r="G29" s="67"/>
      <c r="H29" s="67" t="n">
        <v>10</v>
      </c>
      <c r="I29" s="55" t="n">
        <v>69950</v>
      </c>
      <c r="J29" s="55"/>
      <c r="K29" s="55"/>
      <c r="L29" s="55"/>
      <c r="M29" s="55"/>
      <c r="N29" s="55" t="n">
        <v>20</v>
      </c>
      <c r="O29" s="55"/>
      <c r="P29" s="56"/>
      <c r="Q29" s="125" t="n">
        <f aca="false">SUM(B29,D29,H29,F29,J29,L29)</f>
        <v>18.5</v>
      </c>
      <c r="R29" s="126" t="n">
        <f aca="false">SUM(C29,E29,I29,G29,K29,M29)</f>
        <v>124900</v>
      </c>
      <c r="S29" s="69" t="s">
        <v>106</v>
      </c>
      <c r="T29" s="70"/>
      <c r="U29" s="71"/>
      <c r="V29" s="72" t="n">
        <v>30500</v>
      </c>
      <c r="W29" s="73"/>
      <c r="X29" s="75"/>
      <c r="Y29" s="49"/>
      <c r="Z29" s="49"/>
      <c r="AA29" s="65" t="n">
        <f aca="false">C29-V29</f>
        <v>10700</v>
      </c>
    </row>
    <row r="30" s="51" customFormat="true" ht="60" hidden="false" customHeight="true" outlineLevel="0" collapsed="false">
      <c r="A30" s="53" t="n">
        <v>46106</v>
      </c>
      <c r="B30" s="76" t="n">
        <v>3.5</v>
      </c>
      <c r="C30" s="67" t="n">
        <v>27450</v>
      </c>
      <c r="D30" s="67" t="n">
        <v>4.5</v>
      </c>
      <c r="E30" s="55" t="n">
        <v>19250</v>
      </c>
      <c r="F30" s="67"/>
      <c r="G30" s="67"/>
      <c r="H30" s="67" t="n">
        <v>17.5</v>
      </c>
      <c r="I30" s="55" t="n">
        <v>91400</v>
      </c>
      <c r="J30" s="55" t="n">
        <v>2.5</v>
      </c>
      <c r="K30" s="55" t="n">
        <v>9750</v>
      </c>
      <c r="L30" s="55"/>
      <c r="M30" s="55"/>
      <c r="N30" s="55" t="n">
        <v>22.5</v>
      </c>
      <c r="O30" s="55" t="n">
        <v>3.5</v>
      </c>
      <c r="P30" s="56" t="n">
        <v>11550</v>
      </c>
      <c r="Q30" s="125" t="n">
        <f aca="false">SUM(B30,D30,H30,F30,J30,L30)</f>
        <v>28</v>
      </c>
      <c r="R30" s="126" t="n">
        <f aca="false">SUM(C30,E30,I30,G30,K30,M30)</f>
        <v>147850</v>
      </c>
      <c r="S30" s="69" t="s">
        <v>106</v>
      </c>
      <c r="T30" s="70"/>
      <c r="U30" s="71"/>
      <c r="V30" s="72" t="n">
        <v>20200</v>
      </c>
      <c r="W30" s="73"/>
      <c r="X30" s="75"/>
      <c r="Y30" s="49"/>
      <c r="Z30" s="49"/>
      <c r="AA30" s="65" t="n">
        <f aca="false">C30-V30</f>
        <v>7250</v>
      </c>
    </row>
    <row r="31" s="51" customFormat="true" ht="60" hidden="false" customHeight="true" outlineLevel="0" collapsed="false">
      <c r="A31" s="53" t="n">
        <v>46107</v>
      </c>
      <c r="B31" s="76" t="n">
        <v>1.5</v>
      </c>
      <c r="C31" s="67" t="n">
        <v>630</v>
      </c>
      <c r="D31" s="67" t="n">
        <v>2</v>
      </c>
      <c r="E31" s="55" t="n">
        <v>10000</v>
      </c>
      <c r="F31" s="67"/>
      <c r="G31" s="67"/>
      <c r="H31" s="67" t="n">
        <v>14</v>
      </c>
      <c r="I31" s="55" t="n">
        <v>105950</v>
      </c>
      <c r="J31" s="55"/>
      <c r="K31" s="55"/>
      <c r="L31" s="55"/>
      <c r="M31" s="55"/>
      <c r="N31" s="55" t="n">
        <v>22</v>
      </c>
      <c r="O31" s="55"/>
      <c r="P31" s="56"/>
      <c r="Q31" s="125" t="n">
        <f aca="false">SUM(B31,D31,H31,F31,J31,L31)</f>
        <v>17.5</v>
      </c>
      <c r="R31" s="126" t="n">
        <f aca="false">SUM(C31,E31,I31,G31,K31,M31)</f>
        <v>116580</v>
      </c>
      <c r="S31" s="69" t="s">
        <v>108</v>
      </c>
      <c r="T31" s="70"/>
      <c r="U31" s="71"/>
      <c r="V31" s="72" t="n">
        <v>410</v>
      </c>
      <c r="W31" s="73"/>
      <c r="X31" s="75"/>
      <c r="Y31" s="49"/>
      <c r="Z31" s="49"/>
      <c r="AA31" s="65" t="n">
        <f aca="false">C31-V31</f>
        <v>220</v>
      </c>
    </row>
    <row r="32" s="51" customFormat="true" ht="60" hidden="false" customHeight="true" outlineLevel="0" collapsed="false">
      <c r="A32" s="53" t="n">
        <v>46108</v>
      </c>
      <c r="B32" s="76" t="n">
        <v>7</v>
      </c>
      <c r="C32" s="67" t="n">
        <v>23100</v>
      </c>
      <c r="D32" s="67" t="n">
        <v>2.5</v>
      </c>
      <c r="E32" s="55" t="n">
        <v>37450</v>
      </c>
      <c r="F32" s="67"/>
      <c r="G32" s="67"/>
      <c r="H32" s="67" t="n">
        <v>11.5</v>
      </c>
      <c r="I32" s="55" t="n">
        <v>109000</v>
      </c>
      <c r="J32" s="55"/>
      <c r="K32" s="55"/>
      <c r="L32" s="55"/>
      <c r="M32" s="55"/>
      <c r="N32" s="55" t="n">
        <v>35</v>
      </c>
      <c r="O32" s="55"/>
      <c r="P32" s="56"/>
      <c r="Q32" s="125" t="n">
        <f aca="false">SUM(B32,D32,H32,F32,J32,L32)</f>
        <v>21</v>
      </c>
      <c r="R32" s="126" t="n">
        <f aca="false">SUM(C32,E32,I32,G32,K32,M32)</f>
        <v>169550</v>
      </c>
      <c r="S32" s="69" t="s">
        <v>108</v>
      </c>
      <c r="T32" s="70"/>
      <c r="U32" s="71"/>
      <c r="V32" s="72" t="n">
        <v>23750</v>
      </c>
      <c r="W32" s="73"/>
      <c r="X32" s="75"/>
      <c r="Y32" s="49"/>
      <c r="Z32" s="49"/>
      <c r="AA32" s="65" t="n">
        <f aca="false">C32-V32</f>
        <v>-650</v>
      </c>
    </row>
    <row r="33" s="51" customFormat="true" ht="60" hidden="false" customHeight="true" outlineLevel="0" collapsed="false">
      <c r="A33" s="53" t="n">
        <v>46109</v>
      </c>
      <c r="B33" s="76" t="n">
        <v>3.5</v>
      </c>
      <c r="C33" s="67" t="n">
        <v>14800</v>
      </c>
      <c r="D33" s="67" t="n">
        <v>4.5</v>
      </c>
      <c r="E33" s="55" t="n">
        <v>61500</v>
      </c>
      <c r="F33" s="67"/>
      <c r="G33" s="67"/>
      <c r="H33" s="67" t="n">
        <v>20.5</v>
      </c>
      <c r="I33" s="55" t="n">
        <v>105750</v>
      </c>
      <c r="J33" s="55"/>
      <c r="K33" s="55"/>
      <c r="L33" s="55"/>
      <c r="M33" s="55"/>
      <c r="N33" s="55" t="n">
        <v>35</v>
      </c>
      <c r="O33" s="55" t="n">
        <v>1</v>
      </c>
      <c r="P33" s="56" t="n">
        <v>5750</v>
      </c>
      <c r="Q33" s="125" t="n">
        <f aca="false">SUM(B33,D33,H33,F33,J33,L33)</f>
        <v>28.5</v>
      </c>
      <c r="R33" s="126" t="n">
        <f aca="false">SUM(C33,E33,I33,G33,K33,M33)</f>
        <v>182050</v>
      </c>
      <c r="S33" s="69" t="s">
        <v>108</v>
      </c>
      <c r="T33" s="70"/>
      <c r="U33" s="71"/>
      <c r="V33" s="72" t="n">
        <v>11000</v>
      </c>
      <c r="W33" s="73"/>
      <c r="X33" s="74" t="s">
        <v>112</v>
      </c>
      <c r="Y33" s="49"/>
      <c r="Z33" s="49"/>
      <c r="AA33" s="65" t="n">
        <f aca="false">C33-V33</f>
        <v>3800</v>
      </c>
    </row>
    <row r="34" s="51" customFormat="true" ht="60" hidden="false" customHeight="true" outlineLevel="0" collapsed="false">
      <c r="A34" s="53" t="n">
        <v>46110</v>
      </c>
      <c r="B34" s="76" t="n">
        <v>5.5</v>
      </c>
      <c r="C34" s="67" t="n">
        <v>33700</v>
      </c>
      <c r="D34" s="67" t="n">
        <v>2</v>
      </c>
      <c r="E34" s="55" t="n">
        <v>12000</v>
      </c>
      <c r="F34" s="67"/>
      <c r="G34" s="67"/>
      <c r="H34" s="67" t="n">
        <v>23.5</v>
      </c>
      <c r="I34" s="55" t="n">
        <v>267800</v>
      </c>
      <c r="J34" s="55"/>
      <c r="K34" s="55"/>
      <c r="L34" s="55"/>
      <c r="M34" s="55"/>
      <c r="N34" s="55" t="n">
        <v>67.5</v>
      </c>
      <c r="O34" s="55" t="n">
        <v>2</v>
      </c>
      <c r="P34" s="56" t="n">
        <v>11650</v>
      </c>
      <c r="Q34" s="125" t="n">
        <f aca="false">SUM(B34,D34,H34,F34,J34,L34)</f>
        <v>31</v>
      </c>
      <c r="R34" s="126" t="n">
        <f aca="false">SUM(C34,E34,I34,G34,K34,M34)</f>
        <v>313500</v>
      </c>
      <c r="S34" s="69" t="s">
        <v>109</v>
      </c>
      <c r="T34" s="70"/>
      <c r="U34" s="71"/>
      <c r="V34" s="72" t="n">
        <v>21250</v>
      </c>
      <c r="W34" s="73"/>
      <c r="X34" s="75"/>
      <c r="Y34" s="49"/>
      <c r="Z34" s="49"/>
      <c r="AA34" s="65" t="n">
        <f aca="false">C34-V34</f>
        <v>12450</v>
      </c>
    </row>
    <row r="35" s="51" customFormat="true" ht="60" hidden="false" customHeight="true" outlineLevel="0" collapsed="false">
      <c r="A35" s="53" t="n">
        <v>46111</v>
      </c>
      <c r="B35" s="76" t="n">
        <v>5</v>
      </c>
      <c r="C35" s="67" t="n">
        <v>18400</v>
      </c>
      <c r="D35" s="67" t="n">
        <v>4</v>
      </c>
      <c r="E35" s="55" t="n">
        <v>39300</v>
      </c>
      <c r="F35" s="67"/>
      <c r="G35" s="67"/>
      <c r="H35" s="67" t="n">
        <v>9</v>
      </c>
      <c r="I35" s="55" t="n">
        <v>77450</v>
      </c>
      <c r="J35" s="55"/>
      <c r="K35" s="55"/>
      <c r="L35" s="55"/>
      <c r="M35" s="55"/>
      <c r="N35" s="55" t="n">
        <v>30.5</v>
      </c>
      <c r="O35" s="55" t="n">
        <v>2.5</v>
      </c>
      <c r="P35" s="56" t="n">
        <v>3800</v>
      </c>
      <c r="Q35" s="125" t="n">
        <f aca="false">SUM(B35,D35,H35,F35,J35,L35)</f>
        <v>18</v>
      </c>
      <c r="R35" s="126" t="n">
        <f aca="false">SUM(C35,E35,I35,G35,K35,M35)</f>
        <v>135150</v>
      </c>
      <c r="S35" s="69" t="s">
        <v>106</v>
      </c>
      <c r="T35" s="70"/>
      <c r="U35" s="71"/>
      <c r="V35" s="72" t="n">
        <v>28900</v>
      </c>
      <c r="W35" s="73"/>
      <c r="X35" s="75"/>
      <c r="Y35" s="49"/>
      <c r="Z35" s="49"/>
      <c r="AA35" s="65" t="n">
        <f aca="false">C35-V35</f>
        <v>-10500</v>
      </c>
    </row>
    <row r="36" s="51" customFormat="true" ht="60" hidden="false" customHeight="true" outlineLevel="0" collapsed="false">
      <c r="A36" s="53" t="n">
        <v>46112</v>
      </c>
      <c r="B36" s="76" t="n">
        <v>2</v>
      </c>
      <c r="C36" s="67" t="n">
        <v>9300</v>
      </c>
      <c r="D36" s="67"/>
      <c r="E36" s="55"/>
      <c r="F36" s="67"/>
      <c r="G36" s="67"/>
      <c r="H36" s="67" t="n">
        <v>13.5</v>
      </c>
      <c r="I36" s="55" t="n">
        <v>73750</v>
      </c>
      <c r="J36" s="55"/>
      <c r="K36" s="55"/>
      <c r="L36" s="55"/>
      <c r="M36" s="55"/>
      <c r="N36" s="55" t="n">
        <v>20.5</v>
      </c>
      <c r="O36" s="55"/>
      <c r="P36" s="56"/>
      <c r="Q36" s="125" t="n">
        <f aca="false">SUM(B36,D36,H36,F36,J36,L36)</f>
        <v>15.5</v>
      </c>
      <c r="R36" s="126" t="n">
        <f aca="false">SUM(C36,E36,I36,G36,K36,M36)</f>
        <v>83050</v>
      </c>
      <c r="S36" s="69" t="s">
        <v>113</v>
      </c>
      <c r="T36" s="70"/>
      <c r="U36" s="71"/>
      <c r="V36" s="72" t="n">
        <v>10000</v>
      </c>
      <c r="W36" s="73"/>
      <c r="X36" s="75"/>
      <c r="Y36" s="49"/>
      <c r="Z36" s="49"/>
      <c r="AA36" s="65" t="n">
        <f aca="false">C36-V36</f>
        <v>-700</v>
      </c>
    </row>
    <row r="37" s="84" customFormat="true" ht="96.75" hidden="false" customHeight="true" outlineLevel="0" collapsed="false">
      <c r="A37" s="78"/>
      <c r="B37" s="79" t="n">
        <f aca="false">SUM(B6:B36)</f>
        <v>128.5</v>
      </c>
      <c r="C37" s="79" t="n">
        <f aca="false">SUM(C6:C36)</f>
        <v>676130</v>
      </c>
      <c r="D37" s="79" t="n">
        <f aca="false">SUM(D6:D36)</f>
        <v>63.5</v>
      </c>
      <c r="E37" s="79" t="n">
        <f aca="false">SUM(E6:E36)</f>
        <v>453150</v>
      </c>
      <c r="F37" s="79" t="n">
        <f aca="false">SUM(F6:F36)</f>
        <v>0</v>
      </c>
      <c r="G37" s="79" t="n">
        <f aca="false">SUM(G6:G36)</f>
        <v>0</v>
      </c>
      <c r="H37" s="79" t="n">
        <f aca="false">SUM(H6:H36)</f>
        <v>464.5</v>
      </c>
      <c r="I37" s="79" t="n">
        <f aca="false">SUM(I6:I36)</f>
        <v>3184100</v>
      </c>
      <c r="J37" s="79" t="n">
        <f aca="false">SUM(J6:J36)</f>
        <v>7.5</v>
      </c>
      <c r="K37" s="79" t="n">
        <f aca="false">SUM(K6:K36)</f>
        <v>29610</v>
      </c>
      <c r="L37" s="79" t="n">
        <f aca="false">SUM(L6:L36)</f>
        <v>0</v>
      </c>
      <c r="M37" s="79" t="n">
        <f aca="false">SUM(M6:M36)</f>
        <v>0</v>
      </c>
      <c r="N37" s="79" t="n">
        <f aca="false">SUM(N6:N36)</f>
        <v>951.5</v>
      </c>
      <c r="O37" s="79" t="n">
        <f aca="false">SUM(O6:O36)</f>
        <v>32.5</v>
      </c>
      <c r="P37" s="79" t="n">
        <f aca="false">SUM(P6:P36)</f>
        <v>128050</v>
      </c>
      <c r="Q37" s="79" t="n">
        <f aca="false">SUM(Q6:Q36)</f>
        <v>664</v>
      </c>
      <c r="R37" s="79" t="n">
        <f aca="false">SUM(R6:R36)</f>
        <v>4342990</v>
      </c>
      <c r="S37" s="79" t="n">
        <f aca="false">SUM(S6:S36)</f>
        <v>0</v>
      </c>
      <c r="T37" s="79" t="n">
        <f aca="false">SUM(T6:T36)</f>
        <v>0</v>
      </c>
      <c r="U37" s="79" t="n">
        <f aca="false">SUM(U6:U36)</f>
        <v>0</v>
      </c>
      <c r="V37" s="79" t="n">
        <f aca="false">SUM(V6:V36)</f>
        <v>665910</v>
      </c>
      <c r="W37" s="79" t="n">
        <f aca="false">SUM(W6:W36)</f>
        <v>0</v>
      </c>
      <c r="X37" s="80" t="n">
        <f aca="false">SUM(X6:X36)</f>
        <v>0</v>
      </c>
      <c r="Y37" s="81" t="s">
        <v>39</v>
      </c>
      <c r="Z37" s="82"/>
      <c r="AA37" s="83"/>
    </row>
    <row r="38" s="96" customFormat="true" ht="109.5" hidden="false" customHeight="true" outlineLevel="0" collapsed="false">
      <c r="A38" s="85"/>
      <c r="B38" s="86"/>
      <c r="C38" s="86"/>
      <c r="D38" s="86"/>
      <c r="E38" s="86"/>
      <c r="F38" s="86"/>
      <c r="G38" s="86"/>
      <c r="H38" s="87" t="s">
        <v>40</v>
      </c>
      <c r="I38" s="86"/>
      <c r="J38" s="86"/>
      <c r="K38" s="86"/>
      <c r="L38" s="86"/>
      <c r="M38" s="86"/>
      <c r="N38" s="86"/>
      <c r="O38" s="86"/>
      <c r="P38" s="87" t="s">
        <v>40</v>
      </c>
      <c r="Q38" s="88" t="n">
        <f aca="false">SUM(Q6:Q37)</f>
        <v>1328</v>
      </c>
      <c r="R38" s="89" t="n">
        <f aca="false">SUM(R6:R37)</f>
        <v>8685980</v>
      </c>
      <c r="S38" s="90"/>
      <c r="T38" s="91"/>
      <c r="U38" s="92" t="n">
        <f aca="false">U37+V37</f>
        <v>665910</v>
      </c>
      <c r="V38" s="92"/>
      <c r="W38" s="93"/>
      <c r="X38" s="94"/>
      <c r="Y38" s="95" t="n">
        <f aca="false">C37-U37-V37</f>
        <v>10220</v>
      </c>
      <c r="Z38" s="49"/>
      <c r="AA38" s="65"/>
    </row>
    <row r="39" s="51" customFormat="true" ht="30.75" hidden="false" customHeight="true" outlineLevel="0" collapsed="false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49"/>
      <c r="Z39" s="49"/>
      <c r="AA39" s="3"/>
    </row>
    <row r="40" s="51" customFormat="true" ht="60" hidden="false" customHeight="true" outlineLevel="0" collapsed="false">
      <c r="A40" s="97"/>
      <c r="B40" s="97"/>
      <c r="C40" s="98"/>
      <c r="D40" s="98" t="s">
        <v>41</v>
      </c>
      <c r="E40" s="98"/>
      <c r="F40" s="98"/>
      <c r="G40" s="98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9" t="n">
        <f aca="false">R37-R38</f>
        <v>-4342990</v>
      </c>
      <c r="S40" s="97"/>
      <c r="T40" s="97"/>
      <c r="U40" s="97"/>
      <c r="V40" s="97"/>
      <c r="W40" s="97"/>
      <c r="X40" s="97"/>
      <c r="Y40" s="49"/>
      <c r="Z40" s="49"/>
      <c r="AA40" s="3"/>
    </row>
    <row r="41" customFormat="false" ht="25.5" hidden="false" customHeight="true" outlineLevel="0" collapsed="false"/>
  </sheetData>
  <mergeCells count="14">
    <mergeCell ref="C2:V2"/>
    <mergeCell ref="H3:S3"/>
    <mergeCell ref="U3:X3"/>
    <mergeCell ref="A4:A5"/>
    <mergeCell ref="B4:C4"/>
    <mergeCell ref="D4:E4"/>
    <mergeCell ref="F4:G4"/>
    <mergeCell ref="H4:I4"/>
    <mergeCell ref="J4:K4"/>
    <mergeCell ref="L4:M4"/>
    <mergeCell ref="N4:N5"/>
    <mergeCell ref="O4:P4"/>
    <mergeCell ref="Q4:R4"/>
    <mergeCell ref="U38:V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2:AD41"/>
  <sheetViews>
    <sheetView showFormulas="false" showGridLines="true" showRowColHeaders="true" showZeros="true" rightToLeft="false" tabSelected="false" showOutlineSymbols="true" defaultGridColor="true" view="normal" topLeftCell="A1" colorId="64" zoomScale="32" zoomScaleNormal="32" zoomScalePageLayoutView="27" workbookViewId="0">
      <pane xSplit="1" ySplit="5" topLeftCell="R19" activePane="bottomRight" state="frozen"/>
      <selection pane="topLeft" activeCell="A1" activeCellId="0" sqref="A1"/>
      <selection pane="topRight" activeCell="R1" activeCellId="0" sqref="R1"/>
      <selection pane="bottomLeft" activeCell="A19" activeCellId="0" sqref="A19"/>
      <selection pane="bottomRight" activeCell="R19" activeCellId="0" sqref="R19"/>
    </sheetView>
  </sheetViews>
  <sheetFormatPr defaultColWidth="8.71484375" defaultRowHeight="24" zeroHeight="false" outlineLevelRow="0" outlineLevelCol="0"/>
  <cols>
    <col collapsed="false" customWidth="true" hidden="false" outlineLevel="0" max="2" min="1" style="1" width="51.86"/>
    <col collapsed="false" customWidth="true" hidden="false" outlineLevel="0" max="3" min="3" style="1" width="41.43"/>
    <col collapsed="false" customWidth="true" hidden="false" outlineLevel="0" max="9" min="4" style="1" width="39.86"/>
    <col collapsed="false" customWidth="true" hidden="false" outlineLevel="0" max="11" min="10" style="1" width="38.43"/>
    <col collapsed="false" customWidth="true" hidden="false" outlineLevel="0" max="15" min="12" style="1" width="33.86"/>
    <col collapsed="false" customWidth="true" hidden="false" outlineLevel="0" max="17" min="16" style="1" width="40.14"/>
    <col collapsed="false" customWidth="true" hidden="false" outlineLevel="0" max="18" min="18" style="1" width="50.57"/>
    <col collapsed="false" customWidth="true" hidden="false" outlineLevel="0" max="19" min="19" style="1" width="39.86"/>
    <col collapsed="false" customWidth="true" hidden="false" outlineLevel="0" max="20" min="20" style="1" width="7.86"/>
    <col collapsed="false" customWidth="true" hidden="false" outlineLevel="0" max="21" min="21" style="1" width="47.43"/>
    <col collapsed="false" customWidth="true" hidden="false" outlineLevel="0" max="22" min="22" style="1" width="47.86"/>
    <col collapsed="false" customWidth="true" hidden="false" outlineLevel="0" max="23" min="23" style="1" width="28.86"/>
    <col collapsed="false" customWidth="true" hidden="false" outlineLevel="0" max="24" min="24" style="1" width="247.72"/>
    <col collapsed="false" customWidth="true" hidden="false" outlineLevel="0" max="25" min="25" style="2" width="27.86"/>
    <col collapsed="false" customWidth="true" hidden="false" outlineLevel="0" max="26" min="26" style="2" width="9.14"/>
    <col collapsed="false" customWidth="true" hidden="false" outlineLevel="0" max="27" min="27" style="3" width="37"/>
    <col collapsed="false" customWidth="false" hidden="false" outlineLevel="0" max="28" min="28" style="4" width="8.71"/>
    <col collapsed="false" customWidth="true" hidden="false" outlineLevel="0" max="29" min="29" style="4" width="109.43"/>
    <col collapsed="false" customWidth="true" hidden="false" outlineLevel="0" max="30" min="30" style="4" width="19.86"/>
    <col collapsed="false" customWidth="false" hidden="false" outlineLevel="0" max="16384" min="31" style="4" width="8.71"/>
  </cols>
  <sheetData>
    <row r="2" s="11" customFormat="true" ht="105" hidden="false" customHeight="true" outlineLevel="0" collapsed="false">
      <c r="A2" s="5"/>
      <c r="B2" s="5"/>
      <c r="C2" s="6" t="s">
        <v>114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  <c r="X2" s="8"/>
      <c r="Y2" s="9"/>
      <c r="Z2" s="9"/>
      <c r="AA2" s="10"/>
    </row>
    <row r="3" s="11" customFormat="true" ht="62.25" hidden="false" customHeight="true" outlineLevel="0" collapsed="false">
      <c r="A3" s="5"/>
      <c r="B3" s="5"/>
      <c r="C3" s="12"/>
      <c r="D3" s="12"/>
      <c r="E3" s="12"/>
      <c r="F3" s="13"/>
      <c r="G3" s="13"/>
      <c r="H3" s="14" t="n">
        <v>45992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2"/>
      <c r="U3" s="15" t="s">
        <v>1</v>
      </c>
      <c r="V3" s="15"/>
      <c r="W3" s="15"/>
      <c r="X3" s="15"/>
      <c r="Y3" s="9"/>
      <c r="Z3" s="9"/>
      <c r="AA3" s="10"/>
    </row>
    <row r="4" s="29" customFormat="true" ht="93.75" hidden="false" customHeight="true" outlineLevel="0" collapsed="false">
      <c r="A4" s="16" t="s">
        <v>2</v>
      </c>
      <c r="B4" s="17" t="s">
        <v>3</v>
      </c>
      <c r="C4" s="17"/>
      <c r="D4" s="17" t="s">
        <v>4</v>
      </c>
      <c r="E4" s="17"/>
      <c r="F4" s="17" t="s">
        <v>5</v>
      </c>
      <c r="G4" s="17"/>
      <c r="H4" s="17" t="s">
        <v>6</v>
      </c>
      <c r="I4" s="17"/>
      <c r="J4" s="18" t="s">
        <v>7</v>
      </c>
      <c r="K4" s="18"/>
      <c r="L4" s="18" t="s">
        <v>8</v>
      </c>
      <c r="M4" s="18"/>
      <c r="N4" s="130" t="s">
        <v>9</v>
      </c>
      <c r="O4" s="20" t="s">
        <v>10</v>
      </c>
      <c r="P4" s="20"/>
      <c r="Q4" s="21" t="s">
        <v>11</v>
      </c>
      <c r="R4" s="21"/>
      <c r="S4" s="22" t="s">
        <v>12</v>
      </c>
      <c r="T4" s="17"/>
      <c r="U4" s="23" t="s">
        <v>13</v>
      </c>
      <c r="V4" s="24" t="s">
        <v>14</v>
      </c>
      <c r="W4" s="25" t="s">
        <v>15</v>
      </c>
      <c r="X4" s="26" t="s">
        <v>16</v>
      </c>
      <c r="Y4" s="27"/>
      <c r="Z4" s="27"/>
      <c r="AA4" s="28" t="s">
        <v>17</v>
      </c>
    </row>
    <row r="5" s="29" customFormat="true" ht="93.75" hidden="false" customHeight="true" outlineLevel="0" collapsed="false">
      <c r="A5" s="16"/>
      <c r="B5" s="30" t="s">
        <v>18</v>
      </c>
      <c r="C5" s="31" t="s">
        <v>19</v>
      </c>
      <c r="D5" s="30" t="s">
        <v>18</v>
      </c>
      <c r="E5" s="31" t="s">
        <v>19</v>
      </c>
      <c r="F5" s="30" t="s">
        <v>18</v>
      </c>
      <c r="G5" s="31" t="s">
        <v>19</v>
      </c>
      <c r="H5" s="30" t="s">
        <v>18</v>
      </c>
      <c r="I5" s="31" t="s">
        <v>19</v>
      </c>
      <c r="J5" s="30" t="s">
        <v>18</v>
      </c>
      <c r="K5" s="31" t="s">
        <v>19</v>
      </c>
      <c r="L5" s="30" t="s">
        <v>18</v>
      </c>
      <c r="M5" s="31" t="s">
        <v>19</v>
      </c>
      <c r="N5" s="130"/>
      <c r="O5" s="32" t="s">
        <v>20</v>
      </c>
      <c r="P5" s="33" t="s">
        <v>19</v>
      </c>
      <c r="Q5" s="34" t="s">
        <v>21</v>
      </c>
      <c r="R5" s="35" t="s">
        <v>22</v>
      </c>
      <c r="S5" s="30"/>
      <c r="T5" s="31"/>
      <c r="U5" s="36"/>
      <c r="V5" s="37"/>
      <c r="W5" s="38"/>
      <c r="X5" s="39"/>
      <c r="Y5" s="27"/>
      <c r="Z5" s="27"/>
      <c r="AA5" s="28"/>
    </row>
    <row r="6" s="51" customFormat="true" ht="51.75" hidden="false" customHeight="true" outlineLevel="0" collapsed="false">
      <c r="A6" s="40" t="s">
        <v>23</v>
      </c>
      <c r="B6" s="41"/>
      <c r="C6" s="42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 t="s">
        <v>24</v>
      </c>
      <c r="Q6" s="44"/>
      <c r="R6" s="45"/>
      <c r="S6" s="46"/>
      <c r="T6" s="46"/>
      <c r="U6" s="43"/>
      <c r="V6" s="43"/>
      <c r="W6" s="47"/>
      <c r="X6" s="48"/>
      <c r="Y6" s="49"/>
      <c r="Z6" s="49"/>
      <c r="AA6" s="50" t="n">
        <f aca="false">C6</f>
        <v>0</v>
      </c>
      <c r="AC6" s="52" t="s">
        <v>25</v>
      </c>
    </row>
    <row r="7" s="51" customFormat="true" ht="60" hidden="false" customHeight="true" outlineLevel="0" collapsed="false">
      <c r="A7" s="53" t="n">
        <v>45992</v>
      </c>
      <c r="B7" s="54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6"/>
      <c r="Q7" s="57" t="n">
        <f aca="false">SUM(B7,D7,F7,H7,J7,L7)</f>
        <v>0</v>
      </c>
      <c r="R7" s="57" t="n">
        <f aca="false">SUM(C7,E7,G7,I7,K7,M7)</f>
        <v>0</v>
      </c>
      <c r="S7" s="59"/>
      <c r="T7" s="60"/>
      <c r="U7" s="61"/>
      <c r="V7" s="62"/>
      <c r="W7" s="63"/>
      <c r="X7" s="103"/>
      <c r="Y7" s="49"/>
      <c r="Z7" s="49"/>
      <c r="AA7" s="65" t="n">
        <f aca="false">AA6+C7-U7-V7</f>
        <v>0</v>
      </c>
      <c r="AC7" s="52"/>
      <c r="AD7" s="66"/>
    </row>
    <row r="8" s="51" customFormat="true" ht="60" hidden="false" customHeight="true" outlineLevel="0" collapsed="false">
      <c r="A8" s="53" t="n">
        <v>45993</v>
      </c>
      <c r="B8" s="76"/>
      <c r="C8" s="67"/>
      <c r="D8" s="67"/>
      <c r="E8" s="55"/>
      <c r="F8" s="67"/>
      <c r="G8" s="67"/>
      <c r="H8" s="67"/>
      <c r="I8" s="55"/>
      <c r="J8" s="55"/>
      <c r="K8" s="55"/>
      <c r="L8" s="55"/>
      <c r="M8" s="55"/>
      <c r="N8" s="55"/>
      <c r="O8" s="55"/>
      <c r="P8" s="56"/>
      <c r="Q8" s="57" t="n">
        <f aca="false">SUM(B8,D8,F8,H8,J8,L8)</f>
        <v>0</v>
      </c>
      <c r="R8" s="57" t="n">
        <f aca="false">SUM(C8,E8,G8,I8,K8,M8)</f>
        <v>0</v>
      </c>
      <c r="S8" s="69"/>
      <c r="T8" s="70"/>
      <c r="U8" s="71"/>
      <c r="V8" s="72"/>
      <c r="W8" s="73"/>
      <c r="X8" s="75"/>
      <c r="Y8" s="49"/>
      <c r="Z8" s="49"/>
      <c r="AA8" s="65" t="n">
        <f aca="false">AA7+C8-U8-V8</f>
        <v>0</v>
      </c>
    </row>
    <row r="9" s="51" customFormat="true" ht="60" hidden="false" customHeight="true" outlineLevel="0" collapsed="false">
      <c r="A9" s="53" t="n">
        <v>45994</v>
      </c>
      <c r="B9" s="76"/>
      <c r="C9" s="67"/>
      <c r="D9" s="67"/>
      <c r="E9" s="55"/>
      <c r="F9" s="67"/>
      <c r="G9" s="67"/>
      <c r="H9" s="67"/>
      <c r="I9" s="55"/>
      <c r="J9" s="55"/>
      <c r="K9" s="55"/>
      <c r="L9" s="55"/>
      <c r="M9" s="55"/>
      <c r="N9" s="55"/>
      <c r="O9" s="55"/>
      <c r="P9" s="56"/>
      <c r="Q9" s="57" t="n">
        <f aca="false">SUM(B9,D9,F9,H9,J9,L9)</f>
        <v>0</v>
      </c>
      <c r="R9" s="57" t="n">
        <f aca="false">SUM(C9,E9,G9,I9,K9,M9)</f>
        <v>0</v>
      </c>
      <c r="S9" s="69"/>
      <c r="T9" s="70"/>
      <c r="U9" s="71"/>
      <c r="V9" s="72"/>
      <c r="W9" s="73"/>
      <c r="X9" s="75"/>
      <c r="Y9" s="49"/>
      <c r="Z9" s="49"/>
      <c r="AA9" s="65" t="n">
        <f aca="false">AA8+C9-U9-V9</f>
        <v>0</v>
      </c>
    </row>
    <row r="10" s="51" customFormat="true" ht="60" hidden="false" customHeight="true" outlineLevel="0" collapsed="false">
      <c r="A10" s="53" t="n">
        <v>45995</v>
      </c>
      <c r="B10" s="76"/>
      <c r="C10" s="67"/>
      <c r="D10" s="67"/>
      <c r="E10" s="55"/>
      <c r="F10" s="67"/>
      <c r="G10" s="67"/>
      <c r="H10" s="67"/>
      <c r="I10" s="55"/>
      <c r="J10" s="55"/>
      <c r="K10" s="55"/>
      <c r="L10" s="55"/>
      <c r="M10" s="55"/>
      <c r="N10" s="55"/>
      <c r="O10" s="55"/>
      <c r="P10" s="56"/>
      <c r="Q10" s="57" t="n">
        <f aca="false">SUM(B10,D10,F10,H10,J10,L10)</f>
        <v>0</v>
      </c>
      <c r="R10" s="57" t="n">
        <f aca="false">SUM(C10,E10,G10,I10,K10,M10)</f>
        <v>0</v>
      </c>
      <c r="S10" s="69"/>
      <c r="T10" s="70"/>
      <c r="U10" s="71"/>
      <c r="V10" s="72"/>
      <c r="W10" s="73"/>
      <c r="X10" s="75"/>
      <c r="Y10" s="49"/>
      <c r="Z10" s="49"/>
      <c r="AA10" s="65" t="n">
        <f aca="false">AA9+C10-U10-V10</f>
        <v>0</v>
      </c>
    </row>
    <row r="11" s="51" customFormat="true" ht="60" hidden="false" customHeight="true" outlineLevel="0" collapsed="false">
      <c r="A11" s="53" t="n">
        <v>45996</v>
      </c>
      <c r="B11" s="76"/>
      <c r="C11" s="67"/>
      <c r="D11" s="67"/>
      <c r="E11" s="55"/>
      <c r="F11" s="67"/>
      <c r="G11" s="67"/>
      <c r="H11" s="67"/>
      <c r="I11" s="55"/>
      <c r="J11" s="55"/>
      <c r="K11" s="55"/>
      <c r="L11" s="55"/>
      <c r="M11" s="55"/>
      <c r="N11" s="55"/>
      <c r="O11" s="55"/>
      <c r="P11" s="56"/>
      <c r="Q11" s="57" t="n">
        <f aca="false">SUM(B11,D11,F11,H11,J11,L11)</f>
        <v>0</v>
      </c>
      <c r="R11" s="57" t="n">
        <f aca="false">SUM(C11,E11,G11,I11,K11,M11)</f>
        <v>0</v>
      </c>
      <c r="S11" s="69"/>
      <c r="T11" s="70"/>
      <c r="U11" s="71"/>
      <c r="V11" s="72"/>
      <c r="W11" s="73"/>
      <c r="X11" s="75"/>
      <c r="Y11" s="49"/>
      <c r="Z11" s="49"/>
      <c r="AA11" s="65" t="n">
        <f aca="false">AA10+C11-U11-V11</f>
        <v>0</v>
      </c>
    </row>
    <row r="12" s="51" customFormat="true" ht="60" hidden="false" customHeight="true" outlineLevel="0" collapsed="false">
      <c r="A12" s="53" t="n">
        <v>45997</v>
      </c>
      <c r="B12" s="76"/>
      <c r="C12" s="67"/>
      <c r="D12" s="67"/>
      <c r="E12" s="55"/>
      <c r="F12" s="67"/>
      <c r="G12" s="67"/>
      <c r="H12" s="67"/>
      <c r="I12" s="55"/>
      <c r="J12" s="55"/>
      <c r="K12" s="55"/>
      <c r="L12" s="55"/>
      <c r="M12" s="55"/>
      <c r="N12" s="55"/>
      <c r="O12" s="55"/>
      <c r="P12" s="56"/>
      <c r="Q12" s="57" t="n">
        <f aca="false">SUM(B12,D12,F12,H12,J12,L12)</f>
        <v>0</v>
      </c>
      <c r="R12" s="57" t="n">
        <f aca="false">SUM(C12,E12,G12,I12,K12,M12)</f>
        <v>0</v>
      </c>
      <c r="S12" s="69"/>
      <c r="T12" s="70"/>
      <c r="U12" s="71"/>
      <c r="V12" s="72"/>
      <c r="W12" s="73"/>
      <c r="X12" s="74"/>
      <c r="Y12" s="49"/>
      <c r="Z12" s="49"/>
      <c r="AA12" s="65" t="n">
        <f aca="false">AA11+C12-U12-V12</f>
        <v>0</v>
      </c>
    </row>
    <row r="13" s="51" customFormat="true" ht="60" hidden="false" customHeight="true" outlineLevel="0" collapsed="false">
      <c r="A13" s="53" t="n">
        <v>45998</v>
      </c>
      <c r="B13" s="76"/>
      <c r="C13" s="67"/>
      <c r="D13" s="67"/>
      <c r="E13" s="55"/>
      <c r="F13" s="67"/>
      <c r="G13" s="67"/>
      <c r="H13" s="67"/>
      <c r="I13" s="55"/>
      <c r="J13" s="55"/>
      <c r="K13" s="55"/>
      <c r="L13" s="55"/>
      <c r="M13" s="55"/>
      <c r="N13" s="55"/>
      <c r="O13" s="55"/>
      <c r="P13" s="56"/>
      <c r="Q13" s="57" t="n">
        <f aca="false">SUM(B13,D13,F13,H13,J13,L13)</f>
        <v>0</v>
      </c>
      <c r="R13" s="57" t="n">
        <f aca="false">SUM(C13,E13,G13,I13,K13,M13)</f>
        <v>0</v>
      </c>
      <c r="S13" s="69"/>
      <c r="T13" s="70"/>
      <c r="U13" s="71"/>
      <c r="V13" s="72"/>
      <c r="W13" s="73"/>
      <c r="X13" s="75"/>
      <c r="Y13" s="49"/>
      <c r="Z13" s="49"/>
      <c r="AA13" s="65" t="n">
        <f aca="false">AA12+C13-U13-V13</f>
        <v>0</v>
      </c>
    </row>
    <row r="14" s="51" customFormat="true" ht="60" hidden="false" customHeight="true" outlineLevel="0" collapsed="false">
      <c r="A14" s="53" t="n">
        <v>45999</v>
      </c>
      <c r="B14" s="76"/>
      <c r="C14" s="67"/>
      <c r="D14" s="67"/>
      <c r="E14" s="55"/>
      <c r="F14" s="67"/>
      <c r="G14" s="67"/>
      <c r="H14" s="67"/>
      <c r="I14" s="55"/>
      <c r="J14" s="55"/>
      <c r="K14" s="55"/>
      <c r="L14" s="55"/>
      <c r="M14" s="55"/>
      <c r="N14" s="55"/>
      <c r="O14" s="55"/>
      <c r="P14" s="56"/>
      <c r="Q14" s="57" t="n">
        <f aca="false">SUM(B14,D14,F14,H14,J14,L14)</f>
        <v>0</v>
      </c>
      <c r="R14" s="57" t="n">
        <f aca="false">SUM(C14,E14,G14,I14,K14,M14)</f>
        <v>0</v>
      </c>
      <c r="S14" s="69"/>
      <c r="T14" s="70"/>
      <c r="U14" s="71"/>
      <c r="V14" s="72"/>
      <c r="W14" s="73"/>
      <c r="X14" s="75"/>
      <c r="Y14" s="49"/>
      <c r="Z14" s="49"/>
      <c r="AA14" s="65" t="n">
        <f aca="false">AA13+C14-U14-V14</f>
        <v>0</v>
      </c>
    </row>
    <row r="15" s="51" customFormat="true" ht="60" hidden="false" customHeight="true" outlineLevel="0" collapsed="false">
      <c r="A15" s="53" t="n">
        <v>46000</v>
      </c>
      <c r="B15" s="76"/>
      <c r="C15" s="67"/>
      <c r="D15" s="67"/>
      <c r="E15" s="55"/>
      <c r="F15" s="67"/>
      <c r="G15" s="67"/>
      <c r="H15" s="67"/>
      <c r="I15" s="55"/>
      <c r="J15" s="55"/>
      <c r="K15" s="55"/>
      <c r="L15" s="55"/>
      <c r="M15" s="55"/>
      <c r="N15" s="55"/>
      <c r="O15" s="55"/>
      <c r="P15" s="56"/>
      <c r="Q15" s="57" t="n">
        <f aca="false">SUM(B15,D15,F15,H15,J15,L15)</f>
        <v>0</v>
      </c>
      <c r="R15" s="57" t="n">
        <f aca="false">SUM(C15,E15,G15,I15,K15,M15)</f>
        <v>0</v>
      </c>
      <c r="S15" s="69"/>
      <c r="T15" s="70"/>
      <c r="U15" s="71"/>
      <c r="V15" s="72"/>
      <c r="W15" s="73"/>
      <c r="X15" s="75"/>
      <c r="Y15" s="49"/>
      <c r="Z15" s="49"/>
      <c r="AA15" s="65" t="n">
        <f aca="false">AA14+C15-U15-V15</f>
        <v>0</v>
      </c>
    </row>
    <row r="16" s="51" customFormat="true" ht="60" hidden="false" customHeight="true" outlineLevel="0" collapsed="false">
      <c r="A16" s="53" t="n">
        <v>46001</v>
      </c>
      <c r="B16" s="76"/>
      <c r="C16" s="67"/>
      <c r="D16" s="67"/>
      <c r="E16" s="55"/>
      <c r="F16" s="67"/>
      <c r="G16" s="67"/>
      <c r="H16" s="67"/>
      <c r="I16" s="55"/>
      <c r="J16" s="55"/>
      <c r="K16" s="55"/>
      <c r="L16" s="55"/>
      <c r="M16" s="55"/>
      <c r="N16" s="55"/>
      <c r="O16" s="55"/>
      <c r="P16" s="56"/>
      <c r="Q16" s="57" t="n">
        <f aca="false">SUM(B16,D16,F16,H16,J16,L16)</f>
        <v>0</v>
      </c>
      <c r="R16" s="57" t="n">
        <f aca="false">SUM(C16,E16,G16,I16,K16,M16)</f>
        <v>0</v>
      </c>
      <c r="S16" s="69"/>
      <c r="T16" s="70"/>
      <c r="U16" s="71"/>
      <c r="V16" s="72"/>
      <c r="W16" s="73"/>
      <c r="X16" s="75"/>
      <c r="Y16" s="49"/>
      <c r="Z16" s="49"/>
      <c r="AA16" s="65" t="n">
        <f aca="false">AA15+C16-U16-V16</f>
        <v>0</v>
      </c>
    </row>
    <row r="17" s="51" customFormat="true" ht="60" hidden="false" customHeight="true" outlineLevel="0" collapsed="false">
      <c r="A17" s="53" t="n">
        <v>46002</v>
      </c>
      <c r="B17" s="76"/>
      <c r="C17" s="67"/>
      <c r="D17" s="67"/>
      <c r="E17" s="55"/>
      <c r="F17" s="67"/>
      <c r="G17" s="67"/>
      <c r="H17" s="67"/>
      <c r="I17" s="55"/>
      <c r="J17" s="55"/>
      <c r="K17" s="55"/>
      <c r="L17" s="55"/>
      <c r="M17" s="55"/>
      <c r="N17" s="55"/>
      <c r="O17" s="55"/>
      <c r="P17" s="56"/>
      <c r="Q17" s="57" t="n">
        <f aca="false">SUM(B17,D17,F17,H17,J17,L17)</f>
        <v>0</v>
      </c>
      <c r="R17" s="57" t="n">
        <f aca="false">SUM(C17,E17,G17,I17,K17,M17)</f>
        <v>0</v>
      </c>
      <c r="S17" s="69"/>
      <c r="T17" s="70"/>
      <c r="U17" s="71"/>
      <c r="V17" s="72"/>
      <c r="W17" s="73"/>
      <c r="X17" s="75"/>
      <c r="Y17" s="49"/>
      <c r="Z17" s="49"/>
      <c r="AA17" s="65" t="n">
        <f aca="false">AA16+C17-U17-V17</f>
        <v>0</v>
      </c>
    </row>
    <row r="18" s="51" customFormat="true" ht="60" hidden="false" customHeight="true" outlineLevel="0" collapsed="false">
      <c r="A18" s="53" t="n">
        <v>46003</v>
      </c>
      <c r="B18" s="76"/>
      <c r="C18" s="67"/>
      <c r="D18" s="67"/>
      <c r="E18" s="55"/>
      <c r="F18" s="67"/>
      <c r="G18" s="67"/>
      <c r="H18" s="67"/>
      <c r="I18" s="55"/>
      <c r="J18" s="55"/>
      <c r="K18" s="55"/>
      <c r="L18" s="55"/>
      <c r="M18" s="55"/>
      <c r="N18" s="55"/>
      <c r="O18" s="55"/>
      <c r="P18" s="56"/>
      <c r="Q18" s="57" t="n">
        <f aca="false">SUM(B18,D18,F18,H18,J18,L18)</f>
        <v>0</v>
      </c>
      <c r="R18" s="57" t="n">
        <f aca="false">SUM(C18,E18,G18,I18,K18,M18)</f>
        <v>0</v>
      </c>
      <c r="S18" s="69"/>
      <c r="T18" s="70"/>
      <c r="U18" s="71"/>
      <c r="V18" s="72"/>
      <c r="W18" s="73"/>
      <c r="X18" s="74"/>
      <c r="Y18" s="49"/>
      <c r="Z18" s="49"/>
      <c r="AA18" s="65" t="n">
        <f aca="false">AA17+C18-U18-V18</f>
        <v>0</v>
      </c>
    </row>
    <row r="19" s="51" customFormat="true" ht="60" hidden="false" customHeight="true" outlineLevel="0" collapsed="false">
      <c r="A19" s="53" t="n">
        <v>46004</v>
      </c>
      <c r="B19" s="76"/>
      <c r="C19" s="67"/>
      <c r="D19" s="67"/>
      <c r="E19" s="55"/>
      <c r="F19" s="67"/>
      <c r="G19" s="67"/>
      <c r="H19" s="67"/>
      <c r="I19" s="55"/>
      <c r="J19" s="55"/>
      <c r="K19" s="55"/>
      <c r="L19" s="55"/>
      <c r="M19" s="55"/>
      <c r="N19" s="55"/>
      <c r="O19" s="55"/>
      <c r="P19" s="56"/>
      <c r="Q19" s="57" t="n">
        <f aca="false">SUM(B19,D19,F19,H19,J19,L19)</f>
        <v>0</v>
      </c>
      <c r="R19" s="57" t="n">
        <f aca="false">SUM(C19,E19,G19,I19,K19,M19)</f>
        <v>0</v>
      </c>
      <c r="S19" s="69"/>
      <c r="T19" s="70"/>
      <c r="U19" s="71"/>
      <c r="V19" s="72"/>
      <c r="W19" s="73"/>
      <c r="X19" s="75"/>
      <c r="Y19" s="49"/>
      <c r="Z19" s="49"/>
      <c r="AA19" s="65" t="n">
        <f aca="false">AA18+C19-U19-V19</f>
        <v>0</v>
      </c>
    </row>
    <row r="20" s="51" customFormat="true" ht="60" hidden="false" customHeight="true" outlineLevel="0" collapsed="false">
      <c r="A20" s="53" t="n">
        <v>46005</v>
      </c>
      <c r="B20" s="76"/>
      <c r="C20" s="67"/>
      <c r="D20" s="67"/>
      <c r="E20" s="55"/>
      <c r="F20" s="67"/>
      <c r="G20" s="67"/>
      <c r="H20" s="67"/>
      <c r="I20" s="55"/>
      <c r="J20" s="55"/>
      <c r="K20" s="55"/>
      <c r="L20" s="55"/>
      <c r="M20" s="55"/>
      <c r="N20" s="55"/>
      <c r="O20" s="55"/>
      <c r="P20" s="56"/>
      <c r="Q20" s="57" t="n">
        <f aca="false">SUM(B20,D20,F20,H20,J20,L20)</f>
        <v>0</v>
      </c>
      <c r="R20" s="57" t="n">
        <f aca="false">SUM(C20,E20,G20,I20,K20,M20)</f>
        <v>0</v>
      </c>
      <c r="S20" s="69"/>
      <c r="T20" s="70"/>
      <c r="U20" s="71"/>
      <c r="V20" s="72"/>
      <c r="W20" s="73"/>
      <c r="X20" s="75"/>
      <c r="Y20" s="49"/>
      <c r="Z20" s="49"/>
      <c r="AA20" s="65" t="n">
        <f aca="false">AA19+C20-U20-V20</f>
        <v>0</v>
      </c>
    </row>
    <row r="21" s="51" customFormat="true" ht="60" hidden="false" customHeight="true" outlineLevel="0" collapsed="false">
      <c r="A21" s="53" t="n">
        <v>46006</v>
      </c>
      <c r="B21" s="76"/>
      <c r="C21" s="67"/>
      <c r="D21" s="67"/>
      <c r="E21" s="55"/>
      <c r="F21" s="67"/>
      <c r="G21" s="67"/>
      <c r="H21" s="67"/>
      <c r="I21" s="55"/>
      <c r="J21" s="55"/>
      <c r="K21" s="55"/>
      <c r="L21" s="55"/>
      <c r="M21" s="55"/>
      <c r="N21" s="55"/>
      <c r="O21" s="55"/>
      <c r="P21" s="56"/>
      <c r="Q21" s="57" t="n">
        <f aca="false">SUM(B21,D21,F21,H21,J21,L21)</f>
        <v>0</v>
      </c>
      <c r="R21" s="57" t="n">
        <f aca="false">SUM(C21,E21,G21,I21,K21,M21)</f>
        <v>0</v>
      </c>
      <c r="S21" s="69"/>
      <c r="T21" s="70"/>
      <c r="U21" s="71"/>
      <c r="V21" s="72"/>
      <c r="W21" s="73"/>
      <c r="X21" s="75"/>
      <c r="Y21" s="49"/>
      <c r="Z21" s="49"/>
      <c r="AA21" s="65" t="n">
        <f aca="false">AA20+C21-U21-V21</f>
        <v>0</v>
      </c>
    </row>
    <row r="22" s="51" customFormat="true" ht="60" hidden="false" customHeight="true" outlineLevel="0" collapsed="false">
      <c r="A22" s="53" t="n">
        <v>46007</v>
      </c>
      <c r="B22" s="76"/>
      <c r="C22" s="67"/>
      <c r="D22" s="67"/>
      <c r="E22" s="55"/>
      <c r="F22" s="67"/>
      <c r="G22" s="67"/>
      <c r="H22" s="67"/>
      <c r="I22" s="55"/>
      <c r="J22" s="55"/>
      <c r="K22" s="55"/>
      <c r="L22" s="55"/>
      <c r="M22" s="55"/>
      <c r="N22" s="55"/>
      <c r="O22" s="55"/>
      <c r="P22" s="56"/>
      <c r="Q22" s="57" t="n">
        <f aca="false">SUM(B22,D22,F22,H22,J22,L22)</f>
        <v>0</v>
      </c>
      <c r="R22" s="57" t="n">
        <f aca="false">SUM(C22,E22,G22,I22,K22,M22)</f>
        <v>0</v>
      </c>
      <c r="S22" s="69"/>
      <c r="T22" s="70"/>
      <c r="U22" s="71"/>
      <c r="V22" s="72"/>
      <c r="W22" s="73"/>
      <c r="X22" s="75"/>
      <c r="Y22" s="49"/>
      <c r="Z22" s="49"/>
      <c r="AA22" s="65" t="n">
        <f aca="false">AA21+C22-U22-V22</f>
        <v>0</v>
      </c>
    </row>
    <row r="23" s="51" customFormat="true" ht="60" hidden="false" customHeight="true" outlineLevel="0" collapsed="false">
      <c r="A23" s="53" t="n">
        <v>46008</v>
      </c>
      <c r="B23" s="76"/>
      <c r="C23" s="67"/>
      <c r="D23" s="67"/>
      <c r="E23" s="55"/>
      <c r="F23" s="67"/>
      <c r="G23" s="67"/>
      <c r="H23" s="67"/>
      <c r="I23" s="55"/>
      <c r="J23" s="55"/>
      <c r="K23" s="55"/>
      <c r="L23" s="55"/>
      <c r="M23" s="55"/>
      <c r="N23" s="55"/>
      <c r="O23" s="55"/>
      <c r="P23" s="56"/>
      <c r="Q23" s="57" t="n">
        <f aca="false">SUM(B23,D23,F23,H23,J23,L23)</f>
        <v>0</v>
      </c>
      <c r="R23" s="57" t="n">
        <f aca="false">SUM(C23,E23,G23,I23,K23,M23)</f>
        <v>0</v>
      </c>
      <c r="S23" s="69"/>
      <c r="T23" s="70"/>
      <c r="U23" s="71"/>
      <c r="V23" s="72"/>
      <c r="W23" s="73"/>
      <c r="X23" s="75"/>
      <c r="Y23" s="49"/>
      <c r="Z23" s="49"/>
      <c r="AA23" s="65" t="n">
        <f aca="false">AA22+C23-U23-V23</f>
        <v>0</v>
      </c>
    </row>
    <row r="24" s="51" customFormat="true" ht="60" hidden="false" customHeight="true" outlineLevel="0" collapsed="false">
      <c r="A24" s="53" t="n">
        <v>46009</v>
      </c>
      <c r="B24" s="76"/>
      <c r="C24" s="67"/>
      <c r="D24" s="67"/>
      <c r="E24" s="55"/>
      <c r="F24" s="67"/>
      <c r="G24" s="67"/>
      <c r="H24" s="67"/>
      <c r="I24" s="55"/>
      <c r="J24" s="55"/>
      <c r="K24" s="55"/>
      <c r="L24" s="55"/>
      <c r="M24" s="55"/>
      <c r="N24" s="55"/>
      <c r="O24" s="55"/>
      <c r="P24" s="56"/>
      <c r="Q24" s="57" t="n">
        <f aca="false">SUM(B24,D24,F24,H24,J24,L24)</f>
        <v>0</v>
      </c>
      <c r="R24" s="57" t="n">
        <f aca="false">SUM(C24,E24,G24,I24,K24,M24)</f>
        <v>0</v>
      </c>
      <c r="S24" s="69"/>
      <c r="T24" s="70"/>
      <c r="U24" s="71"/>
      <c r="V24" s="72"/>
      <c r="W24" s="73"/>
      <c r="X24" s="75"/>
      <c r="Y24" s="49"/>
      <c r="Z24" s="49"/>
      <c r="AA24" s="65" t="n">
        <f aca="false">AA23+C24-U24-V24</f>
        <v>0</v>
      </c>
    </row>
    <row r="25" s="51" customFormat="true" ht="60" hidden="false" customHeight="true" outlineLevel="0" collapsed="false">
      <c r="A25" s="53" t="n">
        <v>46010</v>
      </c>
      <c r="B25" s="76"/>
      <c r="C25" s="67"/>
      <c r="D25" s="67"/>
      <c r="E25" s="55"/>
      <c r="F25" s="67"/>
      <c r="G25" s="67"/>
      <c r="H25" s="67"/>
      <c r="I25" s="55"/>
      <c r="J25" s="55"/>
      <c r="K25" s="55"/>
      <c r="L25" s="55"/>
      <c r="M25" s="55"/>
      <c r="N25" s="55"/>
      <c r="O25" s="55"/>
      <c r="P25" s="56"/>
      <c r="Q25" s="57" t="n">
        <f aca="false">SUM(B25,D25,F25,H25,J25,L25)</f>
        <v>0</v>
      </c>
      <c r="R25" s="57" t="n">
        <f aca="false">SUM(C25,E25,G25,I25,K25,M25)</f>
        <v>0</v>
      </c>
      <c r="S25" s="69"/>
      <c r="T25" s="70"/>
      <c r="U25" s="71"/>
      <c r="V25" s="72"/>
      <c r="W25" s="73"/>
      <c r="X25" s="75"/>
      <c r="Y25" s="49"/>
      <c r="Z25" s="49"/>
      <c r="AA25" s="65" t="n">
        <f aca="false">AA24+C25-U25-V25</f>
        <v>0</v>
      </c>
    </row>
    <row r="26" s="51" customFormat="true" ht="60" hidden="false" customHeight="true" outlineLevel="0" collapsed="false">
      <c r="A26" s="53" t="n">
        <v>46011</v>
      </c>
      <c r="B26" s="76"/>
      <c r="C26" s="67"/>
      <c r="D26" s="67"/>
      <c r="E26" s="55"/>
      <c r="F26" s="67"/>
      <c r="G26" s="67"/>
      <c r="H26" s="67"/>
      <c r="I26" s="55"/>
      <c r="J26" s="55"/>
      <c r="K26" s="55"/>
      <c r="L26" s="55"/>
      <c r="M26" s="55"/>
      <c r="N26" s="55"/>
      <c r="O26" s="55"/>
      <c r="P26" s="56"/>
      <c r="Q26" s="57" t="n">
        <f aca="false">SUM(B26,D26,F26,H26,J26,L26)</f>
        <v>0</v>
      </c>
      <c r="R26" s="57" t="n">
        <f aca="false">SUM(C26,E26,G26,I26,K26,M26)</f>
        <v>0</v>
      </c>
      <c r="S26" s="69"/>
      <c r="T26" s="70"/>
      <c r="U26" s="71"/>
      <c r="V26" s="72"/>
      <c r="W26" s="73"/>
      <c r="X26" s="75"/>
      <c r="Y26" s="49"/>
      <c r="Z26" s="49"/>
      <c r="AA26" s="65" t="n">
        <f aca="false">AA25+C26-U26-V26</f>
        <v>0</v>
      </c>
    </row>
    <row r="27" s="51" customFormat="true" ht="60" hidden="false" customHeight="true" outlineLevel="0" collapsed="false">
      <c r="A27" s="53" t="n">
        <v>46012</v>
      </c>
      <c r="B27" s="76"/>
      <c r="C27" s="67"/>
      <c r="D27" s="67"/>
      <c r="E27" s="55"/>
      <c r="F27" s="67"/>
      <c r="G27" s="67"/>
      <c r="H27" s="67"/>
      <c r="I27" s="55"/>
      <c r="J27" s="55"/>
      <c r="K27" s="55"/>
      <c r="L27" s="55"/>
      <c r="M27" s="55"/>
      <c r="N27" s="55"/>
      <c r="O27" s="55"/>
      <c r="P27" s="56"/>
      <c r="Q27" s="57" t="n">
        <f aca="false">SUM(B27,D27,F27,H27,J27,L27)</f>
        <v>0</v>
      </c>
      <c r="R27" s="57" t="n">
        <f aca="false">SUM(C27,E27,G27,I27,K27,M27)</f>
        <v>0</v>
      </c>
      <c r="S27" s="69"/>
      <c r="T27" s="70"/>
      <c r="U27" s="71"/>
      <c r="V27" s="72"/>
      <c r="W27" s="73"/>
      <c r="X27" s="75"/>
      <c r="Y27" s="49"/>
      <c r="Z27" s="49"/>
      <c r="AA27" s="65" t="n">
        <f aca="false">AA26+C27-U27-V27</f>
        <v>0</v>
      </c>
    </row>
    <row r="28" s="51" customFormat="true" ht="60" hidden="false" customHeight="true" outlineLevel="0" collapsed="false">
      <c r="A28" s="53" t="n">
        <v>46013</v>
      </c>
      <c r="B28" s="76"/>
      <c r="C28" s="67"/>
      <c r="D28" s="67"/>
      <c r="E28" s="55"/>
      <c r="F28" s="67"/>
      <c r="G28" s="67"/>
      <c r="H28" s="67"/>
      <c r="I28" s="55"/>
      <c r="J28" s="55"/>
      <c r="K28" s="55"/>
      <c r="L28" s="55"/>
      <c r="M28" s="55"/>
      <c r="N28" s="55"/>
      <c r="O28" s="55"/>
      <c r="P28" s="56"/>
      <c r="Q28" s="57" t="n">
        <f aca="false">SUM(B28,D28,F28,H28,J28,L28)</f>
        <v>0</v>
      </c>
      <c r="R28" s="57" t="n">
        <f aca="false">SUM(C28,E28,G28,I28,K28,M28)</f>
        <v>0</v>
      </c>
      <c r="S28" s="69"/>
      <c r="T28" s="70"/>
      <c r="U28" s="71"/>
      <c r="V28" s="72"/>
      <c r="W28" s="73"/>
      <c r="X28" s="75"/>
      <c r="Y28" s="49"/>
      <c r="Z28" s="49"/>
      <c r="AA28" s="65" t="n">
        <f aca="false">AA27+C28-U28-V28</f>
        <v>0</v>
      </c>
    </row>
    <row r="29" s="51" customFormat="true" ht="60" hidden="false" customHeight="true" outlineLevel="0" collapsed="false">
      <c r="A29" s="53" t="n">
        <v>46014</v>
      </c>
      <c r="B29" s="76"/>
      <c r="C29" s="67"/>
      <c r="D29" s="67"/>
      <c r="E29" s="55"/>
      <c r="F29" s="67"/>
      <c r="G29" s="67"/>
      <c r="H29" s="67"/>
      <c r="I29" s="55"/>
      <c r="J29" s="55"/>
      <c r="K29" s="55"/>
      <c r="L29" s="55"/>
      <c r="M29" s="55"/>
      <c r="N29" s="55"/>
      <c r="O29" s="55"/>
      <c r="P29" s="56"/>
      <c r="Q29" s="57" t="n">
        <f aca="false">SUM(B29,D29,F29,H29,J29,L29)</f>
        <v>0</v>
      </c>
      <c r="R29" s="57" t="n">
        <f aca="false">SUM(C29,E29,G29,I29,K29,M29)</f>
        <v>0</v>
      </c>
      <c r="S29" s="69"/>
      <c r="T29" s="70"/>
      <c r="U29" s="71"/>
      <c r="V29" s="72"/>
      <c r="W29" s="73"/>
      <c r="X29" s="75"/>
      <c r="Y29" s="49"/>
      <c r="Z29" s="49"/>
      <c r="AA29" s="65" t="n">
        <f aca="false">AA28+C29-U29-V29</f>
        <v>0</v>
      </c>
    </row>
    <row r="30" s="51" customFormat="true" ht="60" hidden="false" customHeight="true" outlineLevel="0" collapsed="false">
      <c r="A30" s="53" t="n">
        <v>46015</v>
      </c>
      <c r="B30" s="76"/>
      <c r="C30" s="67"/>
      <c r="D30" s="67"/>
      <c r="E30" s="55"/>
      <c r="F30" s="67"/>
      <c r="G30" s="67"/>
      <c r="H30" s="67"/>
      <c r="I30" s="55"/>
      <c r="J30" s="55"/>
      <c r="K30" s="55"/>
      <c r="L30" s="55"/>
      <c r="M30" s="55"/>
      <c r="N30" s="55"/>
      <c r="O30" s="55"/>
      <c r="P30" s="56"/>
      <c r="Q30" s="57" t="n">
        <f aca="false">SUM(B30,D30,F30,H30,J30,L30)</f>
        <v>0</v>
      </c>
      <c r="R30" s="57" t="n">
        <f aca="false">SUM(C30,E30,G30,I30,K30,M30)</f>
        <v>0</v>
      </c>
      <c r="S30" s="69"/>
      <c r="T30" s="70"/>
      <c r="U30" s="71"/>
      <c r="V30" s="72"/>
      <c r="W30" s="73"/>
      <c r="X30" s="75"/>
      <c r="Y30" s="49"/>
      <c r="Z30" s="49"/>
      <c r="AA30" s="65" t="n">
        <f aca="false">AA29+C30-U30-V30</f>
        <v>0</v>
      </c>
    </row>
    <row r="31" s="51" customFormat="true" ht="60" hidden="false" customHeight="true" outlineLevel="0" collapsed="false">
      <c r="A31" s="53" t="n">
        <v>46016</v>
      </c>
      <c r="B31" s="76"/>
      <c r="C31" s="67"/>
      <c r="D31" s="67"/>
      <c r="E31" s="55"/>
      <c r="F31" s="67"/>
      <c r="G31" s="67"/>
      <c r="H31" s="67"/>
      <c r="I31" s="55"/>
      <c r="J31" s="55"/>
      <c r="K31" s="55"/>
      <c r="L31" s="55"/>
      <c r="M31" s="55"/>
      <c r="N31" s="55"/>
      <c r="O31" s="55"/>
      <c r="P31" s="56"/>
      <c r="Q31" s="57" t="n">
        <f aca="false">SUM(B31,D31,F31,H31,J31,L31)</f>
        <v>0</v>
      </c>
      <c r="R31" s="57" t="n">
        <f aca="false">SUM(C31,E31,G31,I31,K31,M31)</f>
        <v>0</v>
      </c>
      <c r="S31" s="69"/>
      <c r="T31" s="70"/>
      <c r="U31" s="71"/>
      <c r="V31" s="72"/>
      <c r="W31" s="73"/>
      <c r="X31" s="75"/>
      <c r="Y31" s="49"/>
      <c r="Z31" s="49"/>
      <c r="AA31" s="65" t="n">
        <f aca="false">AA30+C31-U31-V31</f>
        <v>0</v>
      </c>
    </row>
    <row r="32" s="51" customFormat="true" ht="60" hidden="false" customHeight="true" outlineLevel="0" collapsed="false">
      <c r="A32" s="53" t="n">
        <v>46017</v>
      </c>
      <c r="B32" s="76"/>
      <c r="C32" s="67"/>
      <c r="D32" s="67"/>
      <c r="E32" s="55"/>
      <c r="F32" s="67"/>
      <c r="G32" s="67"/>
      <c r="H32" s="67"/>
      <c r="I32" s="55"/>
      <c r="J32" s="55"/>
      <c r="K32" s="55"/>
      <c r="L32" s="55"/>
      <c r="M32" s="55"/>
      <c r="N32" s="55"/>
      <c r="O32" s="55"/>
      <c r="P32" s="56"/>
      <c r="Q32" s="57" t="n">
        <f aca="false">SUM(B32,D32,F32,H32,J32,L32)</f>
        <v>0</v>
      </c>
      <c r="R32" s="57" t="n">
        <f aca="false">SUM(C32,E32,G32,I32,K32,M32)</f>
        <v>0</v>
      </c>
      <c r="S32" s="69"/>
      <c r="T32" s="70"/>
      <c r="U32" s="71"/>
      <c r="V32" s="72"/>
      <c r="W32" s="73"/>
      <c r="X32" s="75"/>
      <c r="Y32" s="49"/>
      <c r="Z32" s="49"/>
      <c r="AA32" s="65" t="n">
        <f aca="false">AA31+C32-U32-V32</f>
        <v>0</v>
      </c>
    </row>
    <row r="33" s="51" customFormat="true" ht="60" hidden="false" customHeight="true" outlineLevel="0" collapsed="false">
      <c r="A33" s="53" t="n">
        <v>46018</v>
      </c>
      <c r="B33" s="76"/>
      <c r="C33" s="67"/>
      <c r="D33" s="67"/>
      <c r="E33" s="55"/>
      <c r="F33" s="67"/>
      <c r="G33" s="67"/>
      <c r="H33" s="67"/>
      <c r="I33" s="55"/>
      <c r="J33" s="55"/>
      <c r="K33" s="55"/>
      <c r="L33" s="55"/>
      <c r="M33" s="55"/>
      <c r="N33" s="55"/>
      <c r="O33" s="55"/>
      <c r="P33" s="56"/>
      <c r="Q33" s="57" t="n">
        <f aca="false">SUM(B33,D33,F33,H33,J33,L33)</f>
        <v>0</v>
      </c>
      <c r="R33" s="57" t="n">
        <f aca="false">SUM(C33,E33,G33,I33,K33,M33)</f>
        <v>0</v>
      </c>
      <c r="S33" s="69"/>
      <c r="T33" s="70"/>
      <c r="U33" s="71"/>
      <c r="V33" s="72"/>
      <c r="W33" s="73"/>
      <c r="X33" s="75"/>
      <c r="Y33" s="49"/>
      <c r="Z33" s="49"/>
      <c r="AA33" s="65" t="n">
        <f aca="false">AA32+C33-U33-V33</f>
        <v>0</v>
      </c>
    </row>
    <row r="34" s="51" customFormat="true" ht="60" hidden="false" customHeight="true" outlineLevel="0" collapsed="false">
      <c r="A34" s="53" t="n">
        <v>46019</v>
      </c>
      <c r="B34" s="76"/>
      <c r="C34" s="67"/>
      <c r="D34" s="67"/>
      <c r="E34" s="55"/>
      <c r="F34" s="67"/>
      <c r="G34" s="67"/>
      <c r="H34" s="67"/>
      <c r="I34" s="55"/>
      <c r="J34" s="55"/>
      <c r="K34" s="55"/>
      <c r="L34" s="55"/>
      <c r="M34" s="55"/>
      <c r="N34" s="55"/>
      <c r="O34" s="55"/>
      <c r="P34" s="56"/>
      <c r="Q34" s="57" t="n">
        <f aca="false">SUM(B34,D34,F34,H34,J34,L34)</f>
        <v>0</v>
      </c>
      <c r="R34" s="57" t="n">
        <f aca="false">SUM(C34,E34,G34,I34,K34,M34)</f>
        <v>0</v>
      </c>
      <c r="S34" s="69"/>
      <c r="T34" s="70"/>
      <c r="U34" s="71"/>
      <c r="V34" s="72"/>
      <c r="W34" s="73"/>
      <c r="X34" s="75"/>
      <c r="Y34" s="49"/>
      <c r="Z34" s="49"/>
      <c r="AA34" s="65" t="n">
        <f aca="false">AA33+C34-U34-V34</f>
        <v>0</v>
      </c>
    </row>
    <row r="35" s="51" customFormat="true" ht="60" hidden="false" customHeight="true" outlineLevel="0" collapsed="false">
      <c r="A35" s="53" t="n">
        <v>46020</v>
      </c>
      <c r="B35" s="76"/>
      <c r="C35" s="67"/>
      <c r="D35" s="67"/>
      <c r="E35" s="55"/>
      <c r="F35" s="67"/>
      <c r="G35" s="67"/>
      <c r="H35" s="67"/>
      <c r="I35" s="55"/>
      <c r="J35" s="55"/>
      <c r="K35" s="55"/>
      <c r="L35" s="55"/>
      <c r="M35" s="55"/>
      <c r="N35" s="55"/>
      <c r="O35" s="55"/>
      <c r="P35" s="56"/>
      <c r="Q35" s="57" t="n">
        <f aca="false">SUM(B35,D35,F35,H35,J35,L35)</f>
        <v>0</v>
      </c>
      <c r="R35" s="57" t="n">
        <f aca="false">SUM(C35,E35,G35,I35,K35,M35)</f>
        <v>0</v>
      </c>
      <c r="S35" s="69"/>
      <c r="T35" s="70"/>
      <c r="U35" s="71"/>
      <c r="V35" s="72"/>
      <c r="W35" s="73"/>
      <c r="X35" s="75"/>
      <c r="Y35" s="49"/>
      <c r="Z35" s="49"/>
      <c r="AA35" s="65" t="n">
        <f aca="false">AA34+C35-U35-V35</f>
        <v>0</v>
      </c>
    </row>
    <row r="36" s="51" customFormat="true" ht="60" hidden="false" customHeight="true" outlineLevel="0" collapsed="false">
      <c r="A36" s="53" t="n">
        <v>46021</v>
      </c>
      <c r="B36" s="76"/>
      <c r="C36" s="67"/>
      <c r="D36" s="67"/>
      <c r="E36" s="55"/>
      <c r="F36" s="67"/>
      <c r="G36" s="67"/>
      <c r="H36" s="67"/>
      <c r="I36" s="55"/>
      <c r="J36" s="55"/>
      <c r="K36" s="55"/>
      <c r="L36" s="55"/>
      <c r="M36" s="55"/>
      <c r="N36" s="55"/>
      <c r="O36" s="55"/>
      <c r="P36" s="56"/>
      <c r="Q36" s="57"/>
      <c r="R36" s="57"/>
      <c r="S36" s="69"/>
      <c r="T36" s="70"/>
      <c r="U36" s="71"/>
      <c r="V36" s="72"/>
      <c r="W36" s="73"/>
      <c r="X36" s="75"/>
      <c r="Y36" s="49"/>
      <c r="Z36" s="49"/>
      <c r="AA36" s="65"/>
    </row>
    <row r="37" s="51" customFormat="true" ht="60" hidden="false" customHeight="true" outlineLevel="0" collapsed="false">
      <c r="A37" s="53" t="n">
        <v>46022</v>
      </c>
      <c r="B37" s="76"/>
      <c r="C37" s="67"/>
      <c r="D37" s="67"/>
      <c r="E37" s="55"/>
      <c r="F37" s="67"/>
      <c r="G37" s="67"/>
      <c r="H37" s="67"/>
      <c r="I37" s="55"/>
      <c r="J37" s="55"/>
      <c r="K37" s="55"/>
      <c r="L37" s="55"/>
      <c r="M37" s="55"/>
      <c r="N37" s="55"/>
      <c r="O37" s="55"/>
      <c r="P37" s="56"/>
      <c r="Q37" s="57"/>
      <c r="R37" s="57"/>
      <c r="S37" s="69"/>
      <c r="T37" s="70"/>
      <c r="U37" s="71"/>
      <c r="V37" s="72"/>
      <c r="W37" s="73"/>
      <c r="X37" s="75"/>
      <c r="Y37" s="49"/>
      <c r="Z37" s="49"/>
      <c r="AA37" s="65"/>
    </row>
    <row r="38" s="84" customFormat="true" ht="96.75" hidden="false" customHeight="true" outlineLevel="0" collapsed="false">
      <c r="A38" s="78"/>
      <c r="B38" s="79" t="n">
        <f aca="false">SUM(B7:B37)</f>
        <v>0</v>
      </c>
      <c r="C38" s="79" t="n">
        <f aca="false">SUM(C7:C37)</f>
        <v>0</v>
      </c>
      <c r="D38" s="79" t="n">
        <f aca="false">SUM(D7:D37)</f>
        <v>0</v>
      </c>
      <c r="E38" s="79" t="n">
        <f aca="false">SUM(E7:E37)</f>
        <v>0</v>
      </c>
      <c r="F38" s="79" t="n">
        <f aca="false">SUM(F7:F37)</f>
        <v>0</v>
      </c>
      <c r="G38" s="79" t="n">
        <f aca="false">SUM(G7:G37)</f>
        <v>0</v>
      </c>
      <c r="H38" s="79" t="n">
        <f aca="false">SUM(H7:H37)</f>
        <v>0</v>
      </c>
      <c r="I38" s="79" t="n">
        <f aca="false">SUM(I7:I37)</f>
        <v>0</v>
      </c>
      <c r="J38" s="79" t="n">
        <f aca="false">SUM(J7:J37)</f>
        <v>0</v>
      </c>
      <c r="K38" s="79" t="n">
        <f aca="false">SUM(K7:K37)</f>
        <v>0</v>
      </c>
      <c r="L38" s="79" t="n">
        <f aca="false">SUM(L7:L37)</f>
        <v>0</v>
      </c>
      <c r="M38" s="79" t="n">
        <f aca="false">SUM(M7:M37)</f>
        <v>0</v>
      </c>
      <c r="N38" s="79" t="n">
        <f aca="false">SUM(N7:N37)</f>
        <v>0</v>
      </c>
      <c r="O38" s="79" t="n">
        <f aca="false">SUM(O7:O37)</f>
        <v>0</v>
      </c>
      <c r="P38" s="79" t="n">
        <f aca="false">SUM(P7:P37)</f>
        <v>0</v>
      </c>
      <c r="Q38" s="57" t="n">
        <f aca="false">SUM(Q7:Q37)</f>
        <v>0</v>
      </c>
      <c r="R38" s="57" t="n">
        <f aca="false">SUM(R7:R37)</f>
        <v>0</v>
      </c>
      <c r="S38" s="131" t="n">
        <f aca="false">SUM(S7:S37)</f>
        <v>0</v>
      </c>
      <c r="T38" s="131" t="n">
        <f aca="false">SUM(T7:T37)</f>
        <v>0</v>
      </c>
      <c r="U38" s="79" t="n">
        <f aca="false">SUM(U7:U37)</f>
        <v>0</v>
      </c>
      <c r="V38" s="79" t="n">
        <f aca="false">SUM(V7:V37)</f>
        <v>0</v>
      </c>
      <c r="W38" s="132" t="n">
        <f aca="false">SUM(W7:W37)</f>
        <v>0</v>
      </c>
      <c r="X38" s="133" t="n">
        <f aca="false">SUM(X7:X37)</f>
        <v>0</v>
      </c>
      <c r="Y38" s="81" t="s">
        <v>39</v>
      </c>
      <c r="Z38" s="82"/>
      <c r="AA38" s="83"/>
    </row>
    <row r="39" s="96" customFormat="true" ht="109.5" hidden="false" customHeight="true" outlineLevel="0" collapsed="false">
      <c r="A39" s="85"/>
      <c r="B39" s="86"/>
      <c r="C39" s="86"/>
      <c r="D39" s="86"/>
      <c r="E39" s="86"/>
      <c r="F39" s="86"/>
      <c r="G39" s="86"/>
      <c r="H39" s="87" t="s">
        <v>40</v>
      </c>
      <c r="I39" s="86"/>
      <c r="J39" s="86"/>
      <c r="K39" s="86"/>
      <c r="L39" s="86"/>
      <c r="M39" s="86"/>
      <c r="N39" s="86"/>
      <c r="O39" s="86"/>
      <c r="P39" s="87" t="s">
        <v>40</v>
      </c>
      <c r="Q39" s="88" t="n">
        <f aca="false">SUM(Q7:Q38)</f>
        <v>0</v>
      </c>
      <c r="R39" s="89" t="n">
        <f aca="false">SUM(R7:R38)</f>
        <v>0</v>
      </c>
      <c r="S39" s="90"/>
      <c r="T39" s="91"/>
      <c r="U39" s="120" t="n">
        <f aca="false">U38+V38</f>
        <v>0</v>
      </c>
      <c r="V39" s="134"/>
      <c r="W39" s="93"/>
      <c r="X39" s="94"/>
      <c r="Y39" s="95" t="n">
        <f aca="false">C38-U38-V38</f>
        <v>0</v>
      </c>
      <c r="Z39" s="49"/>
      <c r="AA39" s="65"/>
    </row>
    <row r="40" s="51" customFormat="true" ht="30.75" hidden="false" customHeight="true" outlineLevel="0" collapsed="false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49"/>
      <c r="Z40" s="49"/>
      <c r="AA40" s="3"/>
    </row>
    <row r="41" s="51" customFormat="true" ht="60" hidden="false" customHeight="true" outlineLevel="0" collapsed="false">
      <c r="A41" s="97"/>
      <c r="B41" s="97"/>
      <c r="C41" s="98"/>
      <c r="D41" s="98" t="s">
        <v>41</v>
      </c>
      <c r="E41" s="98"/>
      <c r="F41" s="98"/>
      <c r="G41" s="98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9" t="n">
        <f aca="false">R38-R39</f>
        <v>0</v>
      </c>
      <c r="S41" s="97"/>
      <c r="T41" s="97"/>
      <c r="U41" s="97"/>
      <c r="V41" s="97"/>
      <c r="W41" s="97"/>
      <c r="X41" s="97"/>
      <c r="Y41" s="49"/>
      <c r="Z41" s="49"/>
      <c r="AA41" s="3"/>
    </row>
  </sheetData>
  <mergeCells count="14">
    <mergeCell ref="C2:V2"/>
    <mergeCell ref="H3:S3"/>
    <mergeCell ref="U3:X3"/>
    <mergeCell ref="A4:A5"/>
    <mergeCell ref="B4:C4"/>
    <mergeCell ref="D4:E4"/>
    <mergeCell ref="F4:G4"/>
    <mergeCell ref="H4:I4"/>
    <mergeCell ref="J4:K4"/>
    <mergeCell ref="L4:M4"/>
    <mergeCell ref="N4:N5"/>
    <mergeCell ref="O4:P4"/>
    <mergeCell ref="Q4:R4"/>
    <mergeCell ref="AC6:AC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8.5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45"/>
  <sheetViews>
    <sheetView showFormulas="false" showGridLines="true" showRowColHeaders="true" showZeros="true" rightToLeft="false" tabSelected="false" showOutlineSymbols="true" defaultGridColor="true" view="normal" topLeftCell="A1" colorId="64" zoomScale="30" zoomScaleNormal="30" zoomScalePageLayoutView="27" workbookViewId="0">
      <pane xSplit="1" ySplit="5" topLeftCell="P38" activePane="bottomRight" state="frozen"/>
      <selection pane="topLeft" activeCell="A1" activeCellId="0" sqref="A1"/>
      <selection pane="topRight" activeCell="P1" activeCellId="0" sqref="P1"/>
      <selection pane="bottomLeft" activeCell="A38" activeCellId="0" sqref="A38"/>
      <selection pane="bottomRight" activeCell="V48" activeCellId="0" sqref="V48"/>
    </sheetView>
  </sheetViews>
  <sheetFormatPr defaultColWidth="8.71484375" defaultRowHeight="25.5" zeroHeight="false" outlineLevelRow="0" outlineLevelCol="0"/>
  <cols>
    <col collapsed="false" customWidth="true" hidden="false" outlineLevel="0" max="2" min="1" style="1" width="51.86"/>
    <col collapsed="false" customWidth="true" hidden="false" outlineLevel="0" max="3" min="3" style="1" width="41.43"/>
    <col collapsed="false" customWidth="true" hidden="false" outlineLevel="0" max="9" min="4" style="1" width="39.86"/>
    <col collapsed="false" customWidth="true" hidden="false" outlineLevel="0" max="11" min="10" style="1" width="38.43"/>
    <col collapsed="false" customWidth="true" hidden="false" outlineLevel="0" max="14" min="12" style="1" width="33.86"/>
    <col collapsed="false" customWidth="true" hidden="false" outlineLevel="0" max="15" min="15" style="1" width="35.86"/>
    <col collapsed="false" customWidth="true" hidden="false" outlineLevel="0" max="17" min="16" style="1" width="40.14"/>
    <col collapsed="false" customWidth="true" hidden="false" outlineLevel="0" max="18" min="18" style="1" width="50.57"/>
    <col collapsed="false" customWidth="true" hidden="false" outlineLevel="0" max="19" min="19" style="1" width="39.86"/>
    <col collapsed="false" customWidth="true" hidden="false" outlineLevel="0" max="20" min="20" style="1" width="16.43"/>
    <col collapsed="false" customWidth="true" hidden="false" outlineLevel="0" max="22" min="21" style="1" width="59.86"/>
    <col collapsed="false" customWidth="true" hidden="false" outlineLevel="0" max="26" min="23" style="1" width="47.43"/>
    <col collapsed="false" customWidth="true" hidden="false" outlineLevel="0" max="27" min="27" style="1" width="103.86"/>
    <col collapsed="false" customWidth="true" hidden="false" outlineLevel="0" max="28" min="28" style="1" width="35.86"/>
    <col collapsed="false" customWidth="true" hidden="false" outlineLevel="0" max="29" min="29" style="1" width="55.43"/>
    <col collapsed="false" customWidth="true" hidden="false" outlineLevel="0" max="30" min="30" style="2" width="27.86"/>
    <col collapsed="false" customWidth="true" hidden="false" outlineLevel="0" max="31" min="31" style="2" width="9.14"/>
    <col collapsed="false" customWidth="true" hidden="false" outlineLevel="0" max="32" min="32" style="3" width="37"/>
    <col collapsed="false" customWidth="false" hidden="false" outlineLevel="0" max="33" min="33" style="4" width="8.71"/>
    <col collapsed="false" customWidth="true" hidden="false" outlineLevel="0" max="34" min="34" style="4" width="109.43"/>
    <col collapsed="false" customWidth="true" hidden="false" outlineLevel="0" max="35" min="35" style="4" width="19.86"/>
    <col collapsed="false" customWidth="false" hidden="false" outlineLevel="0" max="16384" min="36" style="4" width="8.71"/>
  </cols>
  <sheetData>
    <row r="1" customFormat="false" ht="25.5" hidden="false" customHeight="false" outlineLevel="0" collapsed="false"/>
    <row r="2" s="11" customFormat="true" ht="105" hidden="false" customHeight="true" outlineLevel="0" collapsed="false">
      <c r="A2" s="5"/>
      <c r="B2" s="5"/>
      <c r="C2" s="6" t="s">
        <v>115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  <c r="AC2" s="8"/>
      <c r="AD2" s="9"/>
      <c r="AE2" s="9"/>
      <c r="AF2" s="10"/>
    </row>
    <row r="3" s="11" customFormat="true" ht="62.25" hidden="false" customHeight="true" outlineLevel="0" collapsed="false">
      <c r="A3" s="5"/>
      <c r="B3" s="5"/>
      <c r="C3" s="12"/>
      <c r="D3" s="12"/>
      <c r="E3" s="12"/>
      <c r="F3" s="13"/>
      <c r="G3" s="13"/>
      <c r="H3" s="14" t="n">
        <v>46082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2"/>
      <c r="U3" s="12"/>
      <c r="V3" s="15" t="s">
        <v>1</v>
      </c>
      <c r="W3" s="15"/>
      <c r="X3" s="15"/>
      <c r="Y3" s="15"/>
      <c r="Z3" s="15"/>
      <c r="AA3" s="15"/>
      <c r="AB3" s="9"/>
      <c r="AC3" s="9"/>
      <c r="AD3" s="10"/>
    </row>
    <row r="4" s="29" customFormat="true" ht="93.75" hidden="false" customHeight="true" outlineLevel="0" collapsed="false">
      <c r="A4" s="16" t="s">
        <v>2</v>
      </c>
      <c r="B4" s="17" t="s">
        <v>3</v>
      </c>
      <c r="C4" s="17"/>
      <c r="D4" s="17" t="s">
        <v>4</v>
      </c>
      <c r="E4" s="17"/>
      <c r="F4" s="17" t="s">
        <v>5</v>
      </c>
      <c r="G4" s="17"/>
      <c r="H4" s="17" t="s">
        <v>6</v>
      </c>
      <c r="I4" s="17"/>
      <c r="J4" s="18" t="s">
        <v>7</v>
      </c>
      <c r="K4" s="18"/>
      <c r="L4" s="18" t="s">
        <v>8</v>
      </c>
      <c r="M4" s="18"/>
      <c r="N4" s="19" t="s">
        <v>9</v>
      </c>
      <c r="O4" s="20" t="s">
        <v>10</v>
      </c>
      <c r="P4" s="20"/>
      <c r="Q4" s="21" t="s">
        <v>11</v>
      </c>
      <c r="R4" s="21"/>
      <c r="S4" s="22" t="s">
        <v>12</v>
      </c>
      <c r="T4" s="17"/>
      <c r="U4" s="23" t="s">
        <v>82</v>
      </c>
      <c r="V4" s="23" t="s">
        <v>13</v>
      </c>
      <c r="W4" s="106" t="s">
        <v>82</v>
      </c>
      <c r="X4" s="106" t="s">
        <v>14</v>
      </c>
      <c r="Y4" s="135" t="s">
        <v>15</v>
      </c>
      <c r="Z4" s="136" t="s">
        <v>16</v>
      </c>
      <c r="AA4" s="136"/>
      <c r="AB4" s="27" t="s">
        <v>17</v>
      </c>
      <c r="AC4" s="27"/>
      <c r="AD4" s="28"/>
    </row>
    <row r="5" s="29" customFormat="true" ht="93.75" hidden="false" customHeight="true" outlineLevel="0" collapsed="false">
      <c r="A5" s="16"/>
      <c r="B5" s="30" t="s">
        <v>18</v>
      </c>
      <c r="C5" s="31" t="s">
        <v>19</v>
      </c>
      <c r="D5" s="30" t="s">
        <v>18</v>
      </c>
      <c r="E5" s="31" t="s">
        <v>19</v>
      </c>
      <c r="F5" s="30" t="s">
        <v>18</v>
      </c>
      <c r="G5" s="31" t="s">
        <v>19</v>
      </c>
      <c r="H5" s="30" t="s">
        <v>18</v>
      </c>
      <c r="I5" s="31" t="s">
        <v>19</v>
      </c>
      <c r="J5" s="30" t="s">
        <v>18</v>
      </c>
      <c r="K5" s="31" t="s">
        <v>19</v>
      </c>
      <c r="L5" s="30" t="s">
        <v>18</v>
      </c>
      <c r="M5" s="31" t="s">
        <v>19</v>
      </c>
      <c r="N5" s="19"/>
      <c r="O5" s="32" t="s">
        <v>20</v>
      </c>
      <c r="P5" s="33" t="s">
        <v>19</v>
      </c>
      <c r="Q5" s="34" t="s">
        <v>21</v>
      </c>
      <c r="R5" s="35" t="s">
        <v>22</v>
      </c>
      <c r="S5" s="30"/>
      <c r="T5" s="31"/>
      <c r="U5" s="36"/>
      <c r="V5" s="36"/>
      <c r="W5" s="108"/>
      <c r="X5" s="108"/>
      <c r="Y5" s="137"/>
      <c r="Z5" s="136"/>
      <c r="AA5" s="136"/>
      <c r="AB5" s="27"/>
      <c r="AC5" s="27"/>
      <c r="AD5" s="28"/>
    </row>
    <row r="6" s="51" customFormat="true" ht="51.75" hidden="false" customHeight="true" outlineLevel="0" collapsed="false">
      <c r="A6" s="40" t="s">
        <v>23</v>
      </c>
      <c r="B6" s="41"/>
      <c r="C6" s="42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 t="s">
        <v>24</v>
      </c>
      <c r="Q6" s="44"/>
      <c r="R6" s="45"/>
      <c r="S6" s="46"/>
      <c r="T6" s="46"/>
      <c r="U6" s="43"/>
      <c r="V6" s="43"/>
      <c r="W6" s="43"/>
      <c r="X6" s="43"/>
      <c r="Y6" s="138"/>
      <c r="Z6" s="139"/>
      <c r="AA6" s="139"/>
      <c r="AB6" s="111" t="n">
        <f aca="false">C6</f>
        <v>0</v>
      </c>
      <c r="AC6" s="49"/>
      <c r="AD6" s="50" t="s">
        <v>25</v>
      </c>
      <c r="AF6" s="52"/>
    </row>
    <row r="7" s="51" customFormat="true" ht="60" hidden="false" customHeight="true" outlineLevel="0" collapsed="false">
      <c r="A7" s="53" t="n">
        <v>46082</v>
      </c>
      <c r="B7" s="54" t="n">
        <v>7.5</v>
      </c>
      <c r="C7" s="55" t="n">
        <v>48950</v>
      </c>
      <c r="D7" s="55" t="n">
        <v>2.5</v>
      </c>
      <c r="E7" s="55" t="n">
        <v>14450</v>
      </c>
      <c r="F7" s="55" t="n">
        <v>1</v>
      </c>
      <c r="G7" s="55" t="n">
        <v>4400</v>
      </c>
      <c r="H7" s="55" t="n">
        <v>12</v>
      </c>
      <c r="I7" s="55" t="n">
        <v>93400</v>
      </c>
      <c r="J7" s="55" t="n">
        <v>2</v>
      </c>
      <c r="K7" s="55" t="n">
        <v>8750</v>
      </c>
      <c r="L7" s="55"/>
      <c r="M7" s="55"/>
      <c r="N7" s="55" t="n">
        <v>27.5</v>
      </c>
      <c r="O7" s="55" t="n">
        <v>20.5</v>
      </c>
      <c r="P7" s="56"/>
      <c r="Q7" s="57" t="n">
        <f aca="false">SUM(B7,D7,F7,H7,J7,L7)</f>
        <v>25</v>
      </c>
      <c r="R7" s="57" t="n">
        <f aca="false">SUM(C7,E7,G7,I7,K7,M7)</f>
        <v>169950</v>
      </c>
      <c r="S7" s="59" t="s">
        <v>116</v>
      </c>
      <c r="T7" s="60"/>
      <c r="U7" s="61"/>
      <c r="V7" s="61"/>
      <c r="W7" s="113" t="n">
        <v>50</v>
      </c>
      <c r="X7" s="113" t="n">
        <v>40050</v>
      </c>
      <c r="Y7" s="140"/>
      <c r="Z7" s="141" t="s">
        <v>117</v>
      </c>
      <c r="AA7" s="141"/>
      <c r="AB7" s="49"/>
      <c r="AC7" s="49"/>
      <c r="AD7" s="65" t="n">
        <f aca="false">C6+C7-V7-X7</f>
        <v>8900</v>
      </c>
      <c r="AF7" s="52"/>
      <c r="AG7" s="66"/>
    </row>
    <row r="8" s="51" customFormat="true" ht="60" hidden="false" customHeight="true" outlineLevel="0" collapsed="false">
      <c r="A8" s="53" t="n">
        <v>46083</v>
      </c>
      <c r="B8" s="54" t="n">
        <v>4.5</v>
      </c>
      <c r="C8" s="67" t="n">
        <v>30550</v>
      </c>
      <c r="D8" s="67" t="n">
        <v>1.5</v>
      </c>
      <c r="E8" s="55" t="n">
        <v>17650</v>
      </c>
      <c r="F8" s="67"/>
      <c r="G8" s="67"/>
      <c r="H8" s="67" t="n">
        <v>8.5</v>
      </c>
      <c r="I8" s="55" t="n">
        <v>47600</v>
      </c>
      <c r="J8" s="55" t="n">
        <v>2</v>
      </c>
      <c r="K8" s="55" t="n">
        <v>9450</v>
      </c>
      <c r="L8" s="55"/>
      <c r="M8" s="55"/>
      <c r="N8" s="55" t="n">
        <v>29.5</v>
      </c>
      <c r="O8" s="55" t="n">
        <v>14</v>
      </c>
      <c r="P8" s="56"/>
      <c r="Q8" s="57" t="n">
        <f aca="false">SUM(B8,D8,F8,H8,J8,L8)</f>
        <v>16.5</v>
      </c>
      <c r="R8" s="57" t="n">
        <f aca="false">SUM(C8,E8,G8,I8,K8,M8)</f>
        <v>105250</v>
      </c>
      <c r="S8" s="69" t="s">
        <v>116</v>
      </c>
      <c r="T8" s="70"/>
      <c r="U8" s="71"/>
      <c r="V8" s="71"/>
      <c r="W8" s="118" t="n">
        <v>50.5</v>
      </c>
      <c r="X8" s="118" t="n">
        <v>44400</v>
      </c>
      <c r="Y8" s="142"/>
      <c r="Z8" s="143" t="s">
        <v>118</v>
      </c>
      <c r="AA8" s="143"/>
      <c r="AB8" s="49"/>
      <c r="AC8" s="49"/>
      <c r="AD8" s="65" t="n">
        <f aca="false">AD7+C8-V8-X8</f>
        <v>-4950</v>
      </c>
    </row>
    <row r="9" s="51" customFormat="true" ht="60" hidden="false" customHeight="true" outlineLevel="0" collapsed="false">
      <c r="A9" s="53" t="n">
        <v>46084</v>
      </c>
      <c r="B9" s="54" t="n">
        <v>7</v>
      </c>
      <c r="C9" s="67" t="n">
        <v>50150</v>
      </c>
      <c r="D9" s="67" t="n">
        <v>1</v>
      </c>
      <c r="E9" s="55" t="n">
        <v>13750</v>
      </c>
      <c r="F9" s="67"/>
      <c r="G9" s="67"/>
      <c r="H9" s="67" t="n">
        <v>5</v>
      </c>
      <c r="I9" s="55" t="n">
        <v>23300</v>
      </c>
      <c r="J9" s="55" t="n">
        <v>1</v>
      </c>
      <c r="K9" s="55" t="n">
        <v>3000</v>
      </c>
      <c r="L9" s="55"/>
      <c r="M9" s="55"/>
      <c r="N9" s="55" t="n">
        <v>21</v>
      </c>
      <c r="O9" s="55" t="n">
        <v>14.5</v>
      </c>
      <c r="P9" s="56"/>
      <c r="Q9" s="57" t="n">
        <f aca="false">SUM(B9,D9,F9,H9,J9,L9)</f>
        <v>14</v>
      </c>
      <c r="R9" s="57" t="n">
        <f aca="false">SUM(C9,E9,G9,I9,K9,M9)</f>
        <v>90200</v>
      </c>
      <c r="S9" s="69" t="s">
        <v>116</v>
      </c>
      <c r="T9" s="70"/>
      <c r="U9" s="71" t="n">
        <v>39.5</v>
      </c>
      <c r="V9" s="71" t="n">
        <v>29300</v>
      </c>
      <c r="W9" s="118" t="n">
        <v>23.5</v>
      </c>
      <c r="X9" s="118" t="n">
        <v>8950</v>
      </c>
      <c r="Y9" s="142"/>
      <c r="Z9" s="141"/>
      <c r="AA9" s="141"/>
      <c r="AB9" s="49"/>
      <c r="AC9" s="49"/>
      <c r="AD9" s="65" t="n">
        <f aca="false">AD8+C9-V9-X9</f>
        <v>6950</v>
      </c>
    </row>
    <row r="10" s="51" customFormat="true" ht="60" hidden="false" customHeight="true" outlineLevel="0" collapsed="false">
      <c r="A10" s="53" t="n">
        <v>46085</v>
      </c>
      <c r="B10" s="54" t="n">
        <v>2</v>
      </c>
      <c r="C10" s="67" t="n">
        <v>7500</v>
      </c>
      <c r="D10" s="67"/>
      <c r="E10" s="55"/>
      <c r="F10" s="67"/>
      <c r="G10" s="67"/>
      <c r="H10" s="67" t="n">
        <v>10</v>
      </c>
      <c r="I10" s="55" t="n">
        <v>59800</v>
      </c>
      <c r="J10" s="55" t="n">
        <v>1</v>
      </c>
      <c r="K10" s="55" t="n">
        <v>5700</v>
      </c>
      <c r="L10" s="55"/>
      <c r="M10" s="55"/>
      <c r="N10" s="55" t="n">
        <v>12.5</v>
      </c>
      <c r="O10" s="55" t="n">
        <v>9.5</v>
      </c>
      <c r="P10" s="56"/>
      <c r="Q10" s="57" t="n">
        <f aca="false">SUM(B10,D10,F10,H10,J10,L10)</f>
        <v>13</v>
      </c>
      <c r="R10" s="57" t="n">
        <f aca="false">SUM(C10,E10,G10,I10,K10,M10)</f>
        <v>73000</v>
      </c>
      <c r="S10" s="69" t="s">
        <v>116</v>
      </c>
      <c r="T10" s="70"/>
      <c r="U10" s="71"/>
      <c r="V10" s="71"/>
      <c r="W10" s="118" t="n">
        <v>20</v>
      </c>
      <c r="X10" s="118" t="n">
        <v>7800</v>
      </c>
      <c r="Y10" s="142"/>
      <c r="Z10" s="141"/>
      <c r="AA10" s="141"/>
      <c r="AB10" s="49"/>
      <c r="AC10" s="49"/>
      <c r="AD10" s="65" t="n">
        <f aca="false">AD9+C10-V10-X10</f>
        <v>6650</v>
      </c>
    </row>
    <row r="11" s="51" customFormat="true" ht="60" hidden="false" customHeight="true" outlineLevel="0" collapsed="false">
      <c r="A11" s="53" t="n">
        <v>46086</v>
      </c>
      <c r="B11" s="54" t="n">
        <v>8</v>
      </c>
      <c r="C11" s="67" t="n">
        <v>41750</v>
      </c>
      <c r="D11" s="67" t="n">
        <v>2</v>
      </c>
      <c r="E11" s="55" t="n">
        <v>9800</v>
      </c>
      <c r="F11" s="67"/>
      <c r="G11" s="67"/>
      <c r="H11" s="67" t="n">
        <v>15</v>
      </c>
      <c r="I11" s="55" t="n">
        <v>59350</v>
      </c>
      <c r="J11" s="55" t="n">
        <v>1</v>
      </c>
      <c r="K11" s="55" t="n">
        <v>3350</v>
      </c>
      <c r="L11" s="55"/>
      <c r="M11" s="55"/>
      <c r="N11" s="55" t="n">
        <v>27</v>
      </c>
      <c r="O11" s="55" t="n">
        <v>20.5</v>
      </c>
      <c r="P11" s="56" t="n">
        <v>7500</v>
      </c>
      <c r="Q11" s="57" t="n">
        <f aca="false">SUM(B11,D11,F11,H11,J11,L11)</f>
        <v>26</v>
      </c>
      <c r="R11" s="57" t="n">
        <f aca="false">SUM(C11,E11,G11,I11,K11,M11)</f>
        <v>114250</v>
      </c>
      <c r="S11" s="69" t="s">
        <v>116</v>
      </c>
      <c r="T11" s="70"/>
      <c r="U11" s="71"/>
      <c r="V11" s="71"/>
      <c r="W11" s="118" t="n">
        <v>69</v>
      </c>
      <c r="X11" s="118" t="n">
        <v>49250</v>
      </c>
      <c r="Y11" s="142"/>
      <c r="Z11" s="141"/>
      <c r="AA11" s="141"/>
      <c r="AB11" s="49"/>
      <c r="AC11" s="49"/>
      <c r="AD11" s="65" t="n">
        <f aca="false">AD10+C11-V11-X11</f>
        <v>-850</v>
      </c>
    </row>
    <row r="12" s="51" customFormat="true" ht="60" hidden="false" customHeight="true" outlineLevel="0" collapsed="false">
      <c r="A12" s="53" t="n">
        <v>46087</v>
      </c>
      <c r="B12" s="54" t="n">
        <v>2</v>
      </c>
      <c r="C12" s="67" t="n">
        <v>13450</v>
      </c>
      <c r="D12" s="67"/>
      <c r="E12" s="55"/>
      <c r="F12" s="67"/>
      <c r="G12" s="67"/>
      <c r="H12" s="67" t="n">
        <v>5</v>
      </c>
      <c r="I12" s="55" t="n">
        <v>40250</v>
      </c>
      <c r="J12" s="55"/>
      <c r="K12" s="55"/>
      <c r="L12" s="55"/>
      <c r="M12" s="55"/>
      <c r="N12" s="55" t="n">
        <v>9.5</v>
      </c>
      <c r="O12" s="55" t="n">
        <v>6.5</v>
      </c>
      <c r="P12" s="56"/>
      <c r="Q12" s="57" t="n">
        <f aca="false">SUM(B12,D12,F12,H12,J12,L12)</f>
        <v>7</v>
      </c>
      <c r="R12" s="57" t="n">
        <f aca="false">SUM(C12,E12,G12,I12,K12,M12)</f>
        <v>53700</v>
      </c>
      <c r="S12" s="69" t="s">
        <v>116</v>
      </c>
      <c r="T12" s="70"/>
      <c r="U12" s="71"/>
      <c r="V12" s="71"/>
      <c r="W12" s="118" t="n">
        <v>38</v>
      </c>
      <c r="X12" s="118" t="n">
        <v>15900</v>
      </c>
      <c r="Y12" s="142"/>
      <c r="Z12" s="141"/>
      <c r="AA12" s="141"/>
      <c r="AB12" s="49"/>
      <c r="AC12" s="49"/>
      <c r="AD12" s="65" t="n">
        <f aca="false">AD11+C12-V12-X12</f>
        <v>-3300</v>
      </c>
    </row>
    <row r="13" s="51" customFormat="true" ht="60" hidden="false" customHeight="true" outlineLevel="0" collapsed="false">
      <c r="A13" s="53" t="n">
        <v>46088</v>
      </c>
      <c r="B13" s="54" t="n">
        <v>2.5</v>
      </c>
      <c r="C13" s="67" t="n">
        <v>10350</v>
      </c>
      <c r="D13" s="67" t="n">
        <v>4</v>
      </c>
      <c r="E13" s="55" t="n">
        <v>13750</v>
      </c>
      <c r="F13" s="67"/>
      <c r="G13" s="67"/>
      <c r="H13" s="67" t="n">
        <v>16.5</v>
      </c>
      <c r="I13" s="55" t="n">
        <v>89450</v>
      </c>
      <c r="J13" s="55" t="n">
        <v>2</v>
      </c>
      <c r="K13" s="55" t="n">
        <v>9600</v>
      </c>
      <c r="L13" s="55"/>
      <c r="M13" s="55"/>
      <c r="N13" s="55" t="n">
        <v>22.5</v>
      </c>
      <c r="O13" s="55" t="n">
        <v>23.5</v>
      </c>
      <c r="P13" s="56"/>
      <c r="Q13" s="57" t="n">
        <f aca="false">SUM(B13,D13,F13,H13,J13,L13)</f>
        <v>25</v>
      </c>
      <c r="R13" s="57" t="n">
        <f aca="false">SUM(C13,E13,G13,I13,K13,M13)</f>
        <v>123150</v>
      </c>
      <c r="S13" s="69" t="s">
        <v>119</v>
      </c>
      <c r="T13" s="70"/>
      <c r="U13" s="71"/>
      <c r="V13" s="71"/>
      <c r="W13" s="118" t="n">
        <v>25.5</v>
      </c>
      <c r="X13" s="118" t="n">
        <v>9150</v>
      </c>
      <c r="Y13" s="142"/>
      <c r="Z13" s="141"/>
      <c r="AA13" s="141"/>
      <c r="AB13" s="49"/>
      <c r="AC13" s="49"/>
      <c r="AD13" s="65" t="n">
        <f aca="false">AD12+C13-V13-X13</f>
        <v>-2100</v>
      </c>
    </row>
    <row r="14" s="51" customFormat="true" ht="60" hidden="false" customHeight="true" outlineLevel="0" collapsed="false">
      <c r="A14" s="53" t="n">
        <v>46089</v>
      </c>
      <c r="B14" s="54" t="n">
        <v>5.5</v>
      </c>
      <c r="C14" s="67" t="n">
        <v>36700</v>
      </c>
      <c r="D14" s="67" t="n">
        <v>1</v>
      </c>
      <c r="E14" s="55" t="n">
        <v>5100</v>
      </c>
      <c r="F14" s="67"/>
      <c r="G14" s="67"/>
      <c r="H14" s="67" t="n">
        <v>6.5</v>
      </c>
      <c r="I14" s="55" t="n">
        <v>63800</v>
      </c>
      <c r="J14" s="55" t="n">
        <v>1</v>
      </c>
      <c r="K14" s="55" t="n">
        <v>20850</v>
      </c>
      <c r="L14" s="55"/>
      <c r="M14" s="55"/>
      <c r="N14" s="55" t="n">
        <v>26</v>
      </c>
      <c r="O14" s="55" t="n">
        <v>16</v>
      </c>
      <c r="P14" s="56"/>
      <c r="Q14" s="57" t="n">
        <f aca="false">SUM(B14,D14,F14,H14,J14,L14)</f>
        <v>14</v>
      </c>
      <c r="R14" s="57" t="n">
        <f aca="false">SUM(C14,E14,G14,I14,K14,M14)</f>
        <v>126450</v>
      </c>
      <c r="S14" s="69" t="s">
        <v>119</v>
      </c>
      <c r="T14" s="70"/>
      <c r="U14" s="71"/>
      <c r="V14" s="71"/>
      <c r="W14" s="118" t="n">
        <v>79</v>
      </c>
      <c r="X14" s="118" t="n">
        <v>50100</v>
      </c>
      <c r="Y14" s="142"/>
      <c r="Z14" s="141"/>
      <c r="AA14" s="141"/>
      <c r="AB14" s="49"/>
      <c r="AC14" s="49"/>
      <c r="AD14" s="65" t="n">
        <f aca="false">AD13+C14-V14-X14</f>
        <v>-15500</v>
      </c>
    </row>
    <row r="15" s="51" customFormat="true" ht="60" hidden="false" customHeight="true" outlineLevel="0" collapsed="false">
      <c r="A15" s="53" t="n">
        <v>46090</v>
      </c>
      <c r="B15" s="54" t="n">
        <v>4.5</v>
      </c>
      <c r="C15" s="67" t="n">
        <v>24500</v>
      </c>
      <c r="D15" s="67" t="n">
        <v>1</v>
      </c>
      <c r="E15" s="55" t="n">
        <v>4450</v>
      </c>
      <c r="F15" s="67"/>
      <c r="G15" s="67"/>
      <c r="H15" s="67" t="n">
        <v>9</v>
      </c>
      <c r="I15" s="55" t="n">
        <v>63350</v>
      </c>
      <c r="J15" s="55" t="n">
        <v>1</v>
      </c>
      <c r="K15" s="55" t="n">
        <v>4050</v>
      </c>
      <c r="L15" s="55"/>
      <c r="M15" s="55"/>
      <c r="N15" s="55" t="n">
        <v>17.5</v>
      </c>
      <c r="O15" s="55" t="n">
        <v>21</v>
      </c>
      <c r="P15" s="56"/>
      <c r="Q15" s="57" t="n">
        <f aca="false">SUM(B15,D15,F15,H15,J15,L15)</f>
        <v>15.5</v>
      </c>
      <c r="R15" s="57" t="n">
        <f aca="false">SUM(C15,E15,G15,I15,K15,M15)</f>
        <v>96350</v>
      </c>
      <c r="S15" s="69" t="s">
        <v>116</v>
      </c>
      <c r="T15" s="70"/>
      <c r="U15" s="71"/>
      <c r="V15" s="71"/>
      <c r="W15" s="118" t="n">
        <v>44</v>
      </c>
      <c r="X15" s="118" t="n">
        <v>33850</v>
      </c>
      <c r="Y15" s="142"/>
      <c r="Z15" s="141"/>
      <c r="AA15" s="141"/>
      <c r="AB15" s="49"/>
      <c r="AC15" s="49"/>
      <c r="AD15" s="65" t="n">
        <f aca="false">AD14+C15-V15-X15</f>
        <v>-24850</v>
      </c>
    </row>
    <row r="16" s="51" customFormat="true" ht="60" hidden="false" customHeight="true" outlineLevel="0" collapsed="false">
      <c r="A16" s="53" t="n">
        <v>46091</v>
      </c>
      <c r="B16" s="54" t="n">
        <v>8</v>
      </c>
      <c r="C16" s="67" t="n">
        <v>35550</v>
      </c>
      <c r="D16" s="67" t="n">
        <v>2.5</v>
      </c>
      <c r="E16" s="55" t="n">
        <v>18350</v>
      </c>
      <c r="F16" s="67"/>
      <c r="G16" s="67"/>
      <c r="H16" s="67" t="n">
        <v>4.5</v>
      </c>
      <c r="I16" s="55" t="n">
        <v>40250</v>
      </c>
      <c r="J16" s="55"/>
      <c r="K16" s="55"/>
      <c r="L16" s="55"/>
      <c r="M16" s="55"/>
      <c r="N16" s="55" t="n">
        <v>26.5</v>
      </c>
      <c r="O16" s="55" t="n">
        <v>20</v>
      </c>
      <c r="P16" s="56"/>
      <c r="Q16" s="57" t="n">
        <f aca="false">SUM(B16,D16,F16,H16,J16,L16)</f>
        <v>15</v>
      </c>
      <c r="R16" s="57" t="n">
        <f aca="false">SUM(C16,E16,G16,I16,K16,M16)</f>
        <v>94150</v>
      </c>
      <c r="S16" s="69" t="s">
        <v>116</v>
      </c>
      <c r="T16" s="70"/>
      <c r="U16" s="71" t="n">
        <v>51.5</v>
      </c>
      <c r="V16" s="71" t="n">
        <v>33000</v>
      </c>
      <c r="W16" s="118" t="n">
        <v>22.5</v>
      </c>
      <c r="X16" s="118" t="n">
        <v>7950</v>
      </c>
      <c r="Y16" s="142"/>
      <c r="Z16" s="141"/>
      <c r="AA16" s="141"/>
      <c r="AB16" s="49"/>
      <c r="AC16" s="49"/>
      <c r="AD16" s="65" t="n">
        <f aca="false">AD15+C16-V16-X16</f>
        <v>-30250</v>
      </c>
    </row>
    <row r="17" s="51" customFormat="true" ht="60" hidden="false" customHeight="true" outlineLevel="0" collapsed="false">
      <c r="A17" s="53" t="n">
        <v>46092</v>
      </c>
      <c r="B17" s="54" t="n">
        <v>3.5</v>
      </c>
      <c r="C17" s="67" t="n">
        <v>13450</v>
      </c>
      <c r="D17" s="67"/>
      <c r="E17" s="55"/>
      <c r="F17" s="67"/>
      <c r="G17" s="67"/>
      <c r="H17" s="67" t="n">
        <v>2.5</v>
      </c>
      <c r="I17" s="55" t="n">
        <v>14400</v>
      </c>
      <c r="J17" s="55" t="n">
        <v>1</v>
      </c>
      <c r="K17" s="55" t="n">
        <v>2000</v>
      </c>
      <c r="L17" s="55"/>
      <c r="M17" s="55"/>
      <c r="N17" s="55" t="n">
        <v>8.5</v>
      </c>
      <c r="O17" s="55" t="n">
        <v>5</v>
      </c>
      <c r="P17" s="56"/>
      <c r="Q17" s="57" t="n">
        <f aca="false">SUM(B17,D17,F17,H17,J17,L17)</f>
        <v>7</v>
      </c>
      <c r="R17" s="57" t="n">
        <f aca="false">SUM(C17,E17,G17,I17,K17,M17)</f>
        <v>29850</v>
      </c>
      <c r="S17" s="69" t="s">
        <v>116</v>
      </c>
      <c r="T17" s="70"/>
      <c r="U17" s="71" t="n">
        <v>37.5</v>
      </c>
      <c r="V17" s="71" t="n">
        <v>8100</v>
      </c>
      <c r="W17" s="118" t="n">
        <v>21.5</v>
      </c>
      <c r="X17" s="118" t="n">
        <v>4750</v>
      </c>
      <c r="Y17" s="142"/>
      <c r="Z17" s="141"/>
      <c r="AA17" s="141"/>
      <c r="AB17" s="49"/>
      <c r="AC17" s="49"/>
      <c r="AD17" s="65" t="n">
        <f aca="false">AD16+C17-V17-X17</f>
        <v>-29650</v>
      </c>
    </row>
    <row r="18" s="51" customFormat="true" ht="60" hidden="false" customHeight="true" outlineLevel="0" collapsed="false">
      <c r="A18" s="53" t="n">
        <v>46093</v>
      </c>
      <c r="B18" s="54" t="n">
        <v>6.5</v>
      </c>
      <c r="C18" s="77" t="n">
        <v>46000</v>
      </c>
      <c r="D18" s="67" t="n">
        <v>1</v>
      </c>
      <c r="E18" s="144" t="n">
        <v>4200</v>
      </c>
      <c r="F18" s="67"/>
      <c r="G18" s="67"/>
      <c r="H18" s="67" t="n">
        <v>8</v>
      </c>
      <c r="I18" s="144" t="n">
        <v>29100</v>
      </c>
      <c r="J18" s="55"/>
      <c r="K18" s="55"/>
      <c r="L18" s="55"/>
      <c r="M18" s="55"/>
      <c r="N18" s="55" t="n">
        <v>13.5</v>
      </c>
      <c r="O18" s="55" t="n">
        <v>20.5</v>
      </c>
      <c r="P18" s="56" t="n">
        <v>6150</v>
      </c>
      <c r="Q18" s="57" t="n">
        <f aca="false">SUM(B18,D18,F18,H18,J18,L18)</f>
        <v>15.5</v>
      </c>
      <c r="R18" s="57" t="n">
        <f aca="false">SUM(C18,E18,G18,I18,K18,M18)</f>
        <v>79300</v>
      </c>
      <c r="S18" s="69" t="s">
        <v>116</v>
      </c>
      <c r="T18" s="70"/>
      <c r="U18" s="71"/>
      <c r="V18" s="71"/>
      <c r="W18" s="118" t="n">
        <v>77.5</v>
      </c>
      <c r="X18" s="118" t="n">
        <v>40950</v>
      </c>
      <c r="Y18" s="142"/>
      <c r="Z18" s="141"/>
      <c r="AA18" s="141"/>
      <c r="AB18" s="49"/>
      <c r="AC18" s="49"/>
      <c r="AD18" s="65" t="n">
        <f aca="false">AD17+C18-V18-X18</f>
        <v>-24600</v>
      </c>
    </row>
    <row r="19" s="51" customFormat="true" ht="60" hidden="false" customHeight="true" outlineLevel="0" collapsed="false">
      <c r="A19" s="53" t="n">
        <v>46094</v>
      </c>
      <c r="B19" s="54" t="n">
        <v>6.5</v>
      </c>
      <c r="C19" s="67" t="n">
        <v>35050</v>
      </c>
      <c r="D19" s="67" t="n">
        <v>5</v>
      </c>
      <c r="E19" s="55" t="n">
        <v>17350</v>
      </c>
      <c r="F19" s="67"/>
      <c r="G19" s="67"/>
      <c r="H19" s="67" t="n">
        <v>7.5</v>
      </c>
      <c r="I19" s="55" t="n">
        <v>41900</v>
      </c>
      <c r="J19" s="55" t="n">
        <v>2.5</v>
      </c>
      <c r="K19" s="55" t="n">
        <v>10350</v>
      </c>
      <c r="L19" s="55"/>
      <c r="M19" s="55"/>
      <c r="N19" s="55" t="n">
        <v>24.5</v>
      </c>
      <c r="O19" s="55" t="n">
        <v>20</v>
      </c>
      <c r="P19" s="56" t="n">
        <v>11400</v>
      </c>
      <c r="Q19" s="57" t="n">
        <f aca="false">SUM(B19,D19,F19,H19,J19,L19)</f>
        <v>21.5</v>
      </c>
      <c r="R19" s="57" t="n">
        <f aca="false">SUM(C19,E19,G19,I19,K19,M19)</f>
        <v>104650</v>
      </c>
      <c r="S19" s="69" t="s">
        <v>119</v>
      </c>
      <c r="T19" s="70"/>
      <c r="U19" s="71" t="n">
        <v>28.5</v>
      </c>
      <c r="V19" s="71" t="n">
        <v>15800</v>
      </c>
      <c r="W19" s="118" t="n">
        <v>26.5</v>
      </c>
      <c r="X19" s="118" t="n">
        <v>23300</v>
      </c>
      <c r="Y19" s="142"/>
      <c r="Z19" s="141"/>
      <c r="AA19" s="141"/>
      <c r="AB19" s="49"/>
      <c r="AC19" s="49"/>
      <c r="AD19" s="65" t="n">
        <f aca="false">AD18+C19-V19-X19</f>
        <v>-28650</v>
      </c>
    </row>
    <row r="20" s="51" customFormat="true" ht="60" hidden="false" customHeight="true" outlineLevel="0" collapsed="false">
      <c r="A20" s="53" t="n">
        <v>46095</v>
      </c>
      <c r="B20" s="54" t="n">
        <v>4</v>
      </c>
      <c r="C20" s="67" t="n">
        <v>23100</v>
      </c>
      <c r="D20" s="67" t="n">
        <v>1</v>
      </c>
      <c r="E20" s="55" t="n">
        <v>10000</v>
      </c>
      <c r="F20" s="67"/>
      <c r="G20" s="67"/>
      <c r="H20" s="67" t="n">
        <v>9.5</v>
      </c>
      <c r="I20" s="55" t="n">
        <v>69050</v>
      </c>
      <c r="J20" s="55"/>
      <c r="K20" s="55"/>
      <c r="L20" s="55"/>
      <c r="M20" s="55"/>
      <c r="N20" s="55" t="n">
        <v>21</v>
      </c>
      <c r="O20" s="55" t="n">
        <v>16.5</v>
      </c>
      <c r="P20" s="56"/>
      <c r="Q20" s="57" t="n">
        <f aca="false">SUM(B20,D20,F20,H20,J20,L20)</f>
        <v>14.5</v>
      </c>
      <c r="R20" s="57" t="n">
        <f aca="false">SUM(C20,E20,G20,I20,K20,M20)</f>
        <v>102150</v>
      </c>
      <c r="S20" s="69" t="s">
        <v>119</v>
      </c>
      <c r="T20" s="70"/>
      <c r="U20" s="71" t="n">
        <v>34</v>
      </c>
      <c r="V20" s="71" t="n">
        <v>18600</v>
      </c>
      <c r="W20" s="118" t="n">
        <v>25</v>
      </c>
      <c r="X20" s="118" t="n">
        <v>6000</v>
      </c>
      <c r="Y20" s="142"/>
      <c r="Z20" s="141"/>
      <c r="AA20" s="141"/>
      <c r="AB20" s="49"/>
      <c r="AC20" s="49"/>
      <c r="AD20" s="65" t="n">
        <f aca="false">AD19+C20-V20-X20</f>
        <v>-30150</v>
      </c>
    </row>
    <row r="21" s="51" customFormat="true" ht="60" hidden="false" customHeight="true" outlineLevel="0" collapsed="false">
      <c r="A21" s="53" t="n">
        <v>46096</v>
      </c>
      <c r="B21" s="76" t="n">
        <v>3</v>
      </c>
      <c r="C21" s="67" t="n">
        <v>18350</v>
      </c>
      <c r="D21" s="67" t="n">
        <v>2.5</v>
      </c>
      <c r="E21" s="55" t="n">
        <v>9750</v>
      </c>
      <c r="F21" s="67"/>
      <c r="G21" s="67"/>
      <c r="H21" s="67" t="n">
        <v>7.5</v>
      </c>
      <c r="I21" s="55" t="n">
        <v>42650</v>
      </c>
      <c r="J21" s="55" t="n">
        <v>1.5</v>
      </c>
      <c r="K21" s="55" t="n">
        <v>4900</v>
      </c>
      <c r="L21" s="55"/>
      <c r="M21" s="55"/>
      <c r="N21" s="55" t="n">
        <v>11.5</v>
      </c>
      <c r="O21" s="55" t="n">
        <v>12</v>
      </c>
      <c r="P21" s="56" t="n">
        <v>6600</v>
      </c>
      <c r="Q21" s="57" t="n">
        <f aca="false">SUM(B21,D21,F21,H21,J21,L21)</f>
        <v>14.5</v>
      </c>
      <c r="R21" s="57" t="n">
        <f aca="false">SUM(C21,E21,G21,I21,K21,M21)</f>
        <v>75650</v>
      </c>
      <c r="S21" s="69" t="s">
        <v>119</v>
      </c>
      <c r="T21" s="70"/>
      <c r="U21" s="71"/>
      <c r="V21" s="71"/>
      <c r="W21" s="118" t="n">
        <v>30</v>
      </c>
      <c r="X21" s="118" t="n">
        <v>19100</v>
      </c>
      <c r="Y21" s="142"/>
      <c r="Z21" s="141"/>
      <c r="AA21" s="141"/>
      <c r="AB21" s="49"/>
      <c r="AC21" s="49"/>
      <c r="AD21" s="65" t="n">
        <f aca="false">AD20+C21-V21-X21</f>
        <v>-30900</v>
      </c>
    </row>
    <row r="22" s="51" customFormat="true" ht="60" hidden="false" customHeight="true" outlineLevel="0" collapsed="false">
      <c r="A22" s="53" t="n">
        <v>46097</v>
      </c>
      <c r="B22" s="76" t="n">
        <v>6</v>
      </c>
      <c r="C22" s="67" t="n">
        <v>32150</v>
      </c>
      <c r="D22" s="67" t="n">
        <v>1</v>
      </c>
      <c r="E22" s="55" t="n">
        <v>13750</v>
      </c>
      <c r="F22" s="67"/>
      <c r="G22" s="67"/>
      <c r="H22" s="67" t="n">
        <v>4.5</v>
      </c>
      <c r="I22" s="55" t="n">
        <v>38750</v>
      </c>
      <c r="J22" s="55"/>
      <c r="K22" s="55"/>
      <c r="L22" s="55"/>
      <c r="M22" s="55"/>
      <c r="N22" s="55" t="n">
        <v>14.5</v>
      </c>
      <c r="O22" s="55" t="n">
        <v>17.5</v>
      </c>
      <c r="P22" s="56" t="n">
        <v>31750</v>
      </c>
      <c r="Q22" s="57" t="n">
        <f aca="false">SUM(B22,D22,F22,H22,J22,L22)</f>
        <v>11.5</v>
      </c>
      <c r="R22" s="57" t="n">
        <f aca="false">SUM(C22,E22,G22,I22,K22,M22)</f>
        <v>84650</v>
      </c>
      <c r="S22" s="69" t="s">
        <v>119</v>
      </c>
      <c r="T22" s="70"/>
      <c r="U22" s="71" t="n">
        <v>39.5</v>
      </c>
      <c r="V22" s="71" t="n">
        <v>9000</v>
      </c>
      <c r="W22" s="118" t="n">
        <v>32</v>
      </c>
      <c r="X22" s="118" t="n">
        <v>16200</v>
      </c>
      <c r="Y22" s="142"/>
      <c r="Z22" s="145" t="s">
        <v>120</v>
      </c>
      <c r="AA22" s="145"/>
      <c r="AB22" s="49"/>
      <c r="AC22" s="49"/>
      <c r="AD22" s="65" t="n">
        <f aca="false">AD21+C22-V22-X22</f>
        <v>-23950</v>
      </c>
    </row>
    <row r="23" s="51" customFormat="true" ht="60" hidden="false" customHeight="true" outlineLevel="0" collapsed="false">
      <c r="A23" s="53" t="n">
        <v>46098</v>
      </c>
      <c r="B23" s="76" t="n">
        <v>7.5</v>
      </c>
      <c r="C23" s="67" t="n">
        <v>32950</v>
      </c>
      <c r="D23" s="67"/>
      <c r="E23" s="55"/>
      <c r="F23" s="67"/>
      <c r="G23" s="67"/>
      <c r="H23" s="67" t="n">
        <v>4.5</v>
      </c>
      <c r="I23" s="55" t="n">
        <v>34400</v>
      </c>
      <c r="J23" s="55" t="n">
        <v>1</v>
      </c>
      <c r="K23" s="55" t="n">
        <v>4600</v>
      </c>
      <c r="L23" s="55"/>
      <c r="M23" s="55"/>
      <c r="N23" s="55" t="n">
        <v>17</v>
      </c>
      <c r="O23" s="55" t="n">
        <v>19</v>
      </c>
      <c r="P23" s="56" t="n">
        <v>4100</v>
      </c>
      <c r="Q23" s="57" t="n">
        <f aca="false">SUM(B23,D23,F23,H23,J23,L23)</f>
        <v>13</v>
      </c>
      <c r="R23" s="57" t="n">
        <f aca="false">SUM(C23,E23,G23,I23,K23,M23)</f>
        <v>71950</v>
      </c>
      <c r="S23" s="69" t="s">
        <v>116</v>
      </c>
      <c r="T23" s="70"/>
      <c r="U23" s="71"/>
      <c r="V23" s="71"/>
      <c r="W23" s="118" t="n">
        <v>57</v>
      </c>
      <c r="X23" s="118" t="n">
        <v>44950</v>
      </c>
      <c r="Y23" s="142"/>
      <c r="Z23" s="141" t="s">
        <v>117</v>
      </c>
      <c r="AA23" s="141"/>
      <c r="AB23" s="49"/>
      <c r="AC23" s="49"/>
      <c r="AD23" s="65" t="n">
        <f aca="false">AD22+C23-V23-X23</f>
        <v>-35950</v>
      </c>
    </row>
    <row r="24" s="51" customFormat="true" ht="60" hidden="false" customHeight="true" outlineLevel="0" collapsed="false">
      <c r="A24" s="53" t="n">
        <v>46099</v>
      </c>
      <c r="B24" s="76" t="n">
        <v>5</v>
      </c>
      <c r="C24" s="67" t="n">
        <v>36500</v>
      </c>
      <c r="D24" s="67" t="n">
        <v>4.5</v>
      </c>
      <c r="E24" s="55" t="n">
        <v>14850</v>
      </c>
      <c r="F24" s="67"/>
      <c r="G24" s="67"/>
      <c r="H24" s="67" t="n">
        <v>1.5</v>
      </c>
      <c r="I24" s="55" t="n">
        <v>23000</v>
      </c>
      <c r="J24" s="55"/>
      <c r="K24" s="55"/>
      <c r="L24" s="55"/>
      <c r="M24" s="55"/>
      <c r="N24" s="55" t="n">
        <v>18.5</v>
      </c>
      <c r="O24" s="55" t="n">
        <v>13</v>
      </c>
      <c r="P24" s="56"/>
      <c r="Q24" s="57" t="n">
        <f aca="false">SUM(B24,D24,F24,H24,J24,L24)</f>
        <v>11</v>
      </c>
      <c r="R24" s="57" t="n">
        <f aca="false">SUM(C24,E24,G24,I24,K24,M24)</f>
        <v>74350</v>
      </c>
      <c r="S24" s="69" t="s">
        <v>119</v>
      </c>
      <c r="T24" s="70"/>
      <c r="U24" s="71" t="n">
        <v>43</v>
      </c>
      <c r="V24" s="71" t="n">
        <v>32350</v>
      </c>
      <c r="W24" s="118" t="n">
        <v>25.5</v>
      </c>
      <c r="X24" s="118" t="n">
        <v>5250</v>
      </c>
      <c r="Y24" s="142"/>
      <c r="Z24" s="141"/>
      <c r="AA24" s="141"/>
      <c r="AB24" s="49"/>
      <c r="AC24" s="49"/>
      <c r="AD24" s="65" t="n">
        <f aca="false">AD23+C24-V24-X24</f>
        <v>-37050</v>
      </c>
    </row>
    <row r="25" s="51" customFormat="true" ht="60" hidden="false" customHeight="true" outlineLevel="0" collapsed="false">
      <c r="A25" s="53" t="n">
        <v>46100</v>
      </c>
      <c r="B25" s="76" t="n">
        <v>2.5</v>
      </c>
      <c r="C25" s="67" t="n">
        <v>10150</v>
      </c>
      <c r="D25" s="67"/>
      <c r="E25" s="55"/>
      <c r="F25" s="67"/>
      <c r="G25" s="67"/>
      <c r="H25" s="67" t="n">
        <v>3</v>
      </c>
      <c r="I25" s="55" t="n">
        <v>15900</v>
      </c>
      <c r="J25" s="55" t="n">
        <v>1</v>
      </c>
      <c r="K25" s="55" t="n">
        <v>13100</v>
      </c>
      <c r="L25" s="55"/>
      <c r="M25" s="55"/>
      <c r="N25" s="55" t="n">
        <v>7.5</v>
      </c>
      <c r="O25" s="55"/>
      <c r="P25" s="56"/>
      <c r="Q25" s="57" t="n">
        <f aca="false">SUM(B25,D25,F25,H25,J25,L25)</f>
        <v>6.5</v>
      </c>
      <c r="R25" s="57" t="n">
        <f aca="false">SUM(C25,E25,G25,I25,K25,M25)</f>
        <v>39150</v>
      </c>
      <c r="S25" s="69" t="s">
        <v>119</v>
      </c>
      <c r="T25" s="70"/>
      <c r="U25" s="71"/>
      <c r="V25" s="71"/>
      <c r="W25" s="118" t="n">
        <v>20.5</v>
      </c>
      <c r="X25" s="118" t="n">
        <v>9700</v>
      </c>
      <c r="Y25" s="142"/>
      <c r="Z25" s="141"/>
      <c r="AA25" s="141"/>
      <c r="AB25" s="49"/>
      <c r="AC25" s="49"/>
      <c r="AD25" s="65" t="n">
        <f aca="false">AD24+C25-V25-X25</f>
        <v>-36600</v>
      </c>
    </row>
    <row r="26" s="51" customFormat="true" ht="60" hidden="false" customHeight="true" outlineLevel="0" collapsed="false">
      <c r="A26" s="53" t="n">
        <v>46101</v>
      </c>
      <c r="B26" s="76" t="n">
        <v>6.5</v>
      </c>
      <c r="C26" s="67" t="n">
        <v>44600</v>
      </c>
      <c r="D26" s="67" t="n">
        <v>1</v>
      </c>
      <c r="E26" s="55" t="n">
        <v>4700</v>
      </c>
      <c r="F26" s="67"/>
      <c r="G26" s="67"/>
      <c r="H26" s="67" t="n">
        <v>5</v>
      </c>
      <c r="I26" s="55" t="n">
        <v>48100</v>
      </c>
      <c r="J26" s="55" t="n">
        <v>2.5</v>
      </c>
      <c r="K26" s="55" t="n">
        <v>16800</v>
      </c>
      <c r="L26" s="55"/>
      <c r="M26" s="55"/>
      <c r="N26" s="55" t="n">
        <v>23</v>
      </c>
      <c r="O26" s="55"/>
      <c r="P26" s="56"/>
      <c r="Q26" s="57" t="n">
        <f aca="false">SUM(B26,D26,F26,H26,J26,L26)</f>
        <v>15</v>
      </c>
      <c r="R26" s="57" t="n">
        <f aca="false">SUM(C26,E26,G26,I26,K26,M26)</f>
        <v>114200</v>
      </c>
      <c r="S26" s="69" t="s">
        <v>119</v>
      </c>
      <c r="T26" s="70"/>
      <c r="U26" s="71"/>
      <c r="V26" s="71"/>
      <c r="W26" s="118" t="n">
        <v>58</v>
      </c>
      <c r="X26" s="118" t="n">
        <v>33250</v>
      </c>
      <c r="Y26" s="142"/>
      <c r="Z26" s="141"/>
      <c r="AA26" s="141"/>
      <c r="AB26" s="49"/>
      <c r="AC26" s="49"/>
      <c r="AD26" s="65" t="n">
        <f aca="false">AD25+C26-V26-X26</f>
        <v>-25250</v>
      </c>
    </row>
    <row r="27" s="51" customFormat="true" ht="60" hidden="false" customHeight="true" outlineLevel="0" collapsed="false">
      <c r="A27" s="53" t="n">
        <v>46102</v>
      </c>
      <c r="B27" s="76" t="n">
        <v>2.5</v>
      </c>
      <c r="C27" s="67" t="n">
        <v>16150</v>
      </c>
      <c r="D27" s="67" t="n">
        <v>2.5</v>
      </c>
      <c r="E27" s="55" t="n">
        <v>16800</v>
      </c>
      <c r="F27" s="67"/>
      <c r="G27" s="67"/>
      <c r="H27" s="67" t="n">
        <v>6.5</v>
      </c>
      <c r="I27" s="55" t="n">
        <v>25100</v>
      </c>
      <c r="J27" s="55" t="n">
        <v>2.5</v>
      </c>
      <c r="K27" s="55" t="n">
        <v>11700</v>
      </c>
      <c r="L27" s="55"/>
      <c r="M27" s="55"/>
      <c r="N27" s="55" t="n">
        <v>12</v>
      </c>
      <c r="O27" s="55" t="n">
        <v>16</v>
      </c>
      <c r="P27" s="56"/>
      <c r="Q27" s="57" t="n">
        <f aca="false">SUM(B27,D27,F27,H27,J27,L27)</f>
        <v>14</v>
      </c>
      <c r="R27" s="57" t="n">
        <f aca="false">SUM(C27,E27,G27,I27,K27,M27)</f>
        <v>69750</v>
      </c>
      <c r="S27" s="69" t="s">
        <v>119</v>
      </c>
      <c r="T27" s="70"/>
      <c r="U27" s="71" t="n">
        <v>38</v>
      </c>
      <c r="V27" s="71" t="n">
        <v>10850</v>
      </c>
      <c r="W27" s="118" t="n">
        <v>19</v>
      </c>
      <c r="X27" s="118" t="n">
        <v>3650</v>
      </c>
      <c r="Y27" s="142"/>
      <c r="Z27" s="141"/>
      <c r="AA27" s="141"/>
      <c r="AB27" s="49"/>
      <c r="AC27" s="49"/>
      <c r="AD27" s="65" t="n">
        <f aca="false">AD26+C27-V27-X27</f>
        <v>-23600</v>
      </c>
    </row>
    <row r="28" s="51" customFormat="true" ht="60" hidden="false" customHeight="true" outlineLevel="0" collapsed="false">
      <c r="A28" s="53" t="n">
        <v>46103</v>
      </c>
      <c r="B28" s="76" t="n">
        <v>5.5</v>
      </c>
      <c r="C28" s="67" t="n">
        <v>29350</v>
      </c>
      <c r="D28" s="67"/>
      <c r="E28" s="55"/>
      <c r="F28" s="67"/>
      <c r="G28" s="67"/>
      <c r="H28" s="67" t="n">
        <v>7</v>
      </c>
      <c r="I28" s="55" t="n">
        <v>29300</v>
      </c>
      <c r="J28" s="55"/>
      <c r="K28" s="55"/>
      <c r="L28" s="55"/>
      <c r="M28" s="55"/>
      <c r="N28" s="55" t="n">
        <v>13</v>
      </c>
      <c r="O28" s="55" t="n">
        <v>11</v>
      </c>
      <c r="P28" s="56"/>
      <c r="Q28" s="57" t="n">
        <f aca="false">SUM(B28,D28,F28,H28,J28,L28)</f>
        <v>12.5</v>
      </c>
      <c r="R28" s="57" t="n">
        <f aca="false">SUM(C28,E28,G28,I28,K28,M28)</f>
        <v>58650</v>
      </c>
      <c r="S28" s="69" t="s">
        <v>116</v>
      </c>
      <c r="T28" s="70"/>
      <c r="U28" s="71"/>
      <c r="V28" s="71"/>
      <c r="W28" s="118" t="n">
        <v>67.5</v>
      </c>
      <c r="X28" s="118" t="n">
        <v>35200</v>
      </c>
      <c r="Y28" s="142"/>
      <c r="Z28" s="141"/>
      <c r="AA28" s="141"/>
      <c r="AB28" s="49"/>
      <c r="AC28" s="49"/>
      <c r="AD28" s="65" t="n">
        <f aca="false">AD27+C28-V28-X28</f>
        <v>-29450</v>
      </c>
    </row>
    <row r="29" s="51" customFormat="true" ht="60" hidden="false" customHeight="true" outlineLevel="0" collapsed="false">
      <c r="A29" s="53" t="n">
        <v>46104</v>
      </c>
      <c r="B29" s="76" t="n">
        <v>4</v>
      </c>
      <c r="C29" s="67" t="n">
        <v>22000</v>
      </c>
      <c r="D29" s="67" t="n">
        <v>1</v>
      </c>
      <c r="E29" s="55" t="n">
        <v>4100</v>
      </c>
      <c r="F29" s="67"/>
      <c r="G29" s="67"/>
      <c r="H29" s="67" t="n">
        <v>5</v>
      </c>
      <c r="I29" s="55" t="n">
        <v>19950</v>
      </c>
      <c r="J29" s="55"/>
      <c r="K29" s="55"/>
      <c r="L29" s="55"/>
      <c r="M29" s="55"/>
      <c r="N29" s="55" t="n">
        <v>8.5</v>
      </c>
      <c r="O29" s="55" t="n">
        <v>11.5</v>
      </c>
      <c r="P29" s="56"/>
      <c r="Q29" s="57" t="n">
        <f aca="false">SUM(B29,D29,F29,H29,J29,L29)</f>
        <v>10</v>
      </c>
      <c r="R29" s="57" t="n">
        <f aca="false">SUM(C29,E29,G29,I29,K29,M29)</f>
        <v>46050</v>
      </c>
      <c r="S29" s="69" t="s">
        <v>119</v>
      </c>
      <c r="T29" s="70"/>
      <c r="U29" s="71"/>
      <c r="V29" s="71"/>
      <c r="W29" s="118" t="n">
        <v>43.5</v>
      </c>
      <c r="X29" s="118" t="n">
        <v>28300</v>
      </c>
      <c r="Y29" s="142"/>
      <c r="Z29" s="141"/>
      <c r="AA29" s="141"/>
      <c r="AB29" s="49"/>
      <c r="AC29" s="49"/>
      <c r="AD29" s="65" t="n">
        <f aca="false">AD28+C29-V29-X29</f>
        <v>-35750</v>
      </c>
    </row>
    <row r="30" s="51" customFormat="true" ht="60" hidden="false" customHeight="true" outlineLevel="0" collapsed="false">
      <c r="A30" s="53" t="n">
        <v>46105</v>
      </c>
      <c r="B30" s="76" t="n">
        <v>2.5</v>
      </c>
      <c r="C30" s="67" t="n">
        <v>24500</v>
      </c>
      <c r="D30" s="67" t="n">
        <v>1</v>
      </c>
      <c r="E30" s="55" t="n">
        <v>4250</v>
      </c>
      <c r="F30" s="67"/>
      <c r="G30" s="67"/>
      <c r="H30" s="67" t="n">
        <v>5</v>
      </c>
      <c r="I30" s="55" t="n">
        <v>36650</v>
      </c>
      <c r="J30" s="55" t="n">
        <v>1</v>
      </c>
      <c r="K30" s="55" t="n">
        <v>6850</v>
      </c>
      <c r="L30" s="55"/>
      <c r="M30" s="55"/>
      <c r="N30" s="55" t="n">
        <v>12.5</v>
      </c>
      <c r="O30" s="55" t="n">
        <v>10.5</v>
      </c>
      <c r="P30" s="56"/>
      <c r="Q30" s="57" t="n">
        <f aca="false">SUM(B30,D30,F30,H30,J30,L30)</f>
        <v>9.5</v>
      </c>
      <c r="R30" s="57" t="n">
        <f aca="false">SUM(C30,E30,G30,I30,K30,M30)</f>
        <v>72250</v>
      </c>
      <c r="S30" s="69" t="s">
        <v>119</v>
      </c>
      <c r="T30" s="70"/>
      <c r="U30" s="71"/>
      <c r="V30" s="71"/>
      <c r="W30" s="118" t="n">
        <v>21.5</v>
      </c>
      <c r="X30" s="118" t="n">
        <v>14900</v>
      </c>
      <c r="Y30" s="142"/>
      <c r="Z30" s="141"/>
      <c r="AA30" s="141"/>
      <c r="AB30" s="49"/>
      <c r="AC30" s="49"/>
      <c r="AD30" s="65" t="n">
        <f aca="false">AD29+C30-V30-X30</f>
        <v>-26150</v>
      </c>
    </row>
    <row r="31" s="51" customFormat="true" ht="60" hidden="false" customHeight="true" outlineLevel="0" collapsed="false">
      <c r="A31" s="53" t="n">
        <v>46106</v>
      </c>
      <c r="B31" s="76" t="n">
        <v>7.5</v>
      </c>
      <c r="C31" s="67" t="n">
        <v>21050</v>
      </c>
      <c r="D31" s="67" t="n">
        <v>4</v>
      </c>
      <c r="E31" s="55" t="n">
        <v>13850</v>
      </c>
      <c r="F31" s="67"/>
      <c r="G31" s="67"/>
      <c r="H31" s="67" t="n">
        <v>11.5</v>
      </c>
      <c r="I31" s="55" t="n">
        <v>79700</v>
      </c>
      <c r="J31" s="55"/>
      <c r="K31" s="55"/>
      <c r="L31" s="55"/>
      <c r="M31" s="55"/>
      <c r="N31" s="55" t="n">
        <v>28</v>
      </c>
      <c r="O31" s="55"/>
      <c r="P31" s="56"/>
      <c r="Q31" s="57" t="n">
        <f aca="false">SUM(B31,D31,F31,H31,J31,L31)</f>
        <v>23</v>
      </c>
      <c r="R31" s="57" t="n">
        <f aca="false">SUM(C31,E31,G31,I31,K31,M31)</f>
        <v>114600</v>
      </c>
      <c r="S31" s="69" t="s">
        <v>119</v>
      </c>
      <c r="T31" s="70"/>
      <c r="U31" s="71" t="n">
        <v>26.5</v>
      </c>
      <c r="V31" s="71" t="n">
        <v>9000</v>
      </c>
      <c r="W31" s="118" t="n">
        <v>25.5</v>
      </c>
      <c r="X31" s="118" t="n">
        <v>19300</v>
      </c>
      <c r="Y31" s="142"/>
      <c r="Z31" s="141"/>
      <c r="AA31" s="141"/>
      <c r="AB31" s="49"/>
      <c r="AC31" s="49"/>
      <c r="AD31" s="65" t="n">
        <f aca="false">AD30+C31-V31-X31</f>
        <v>-33400</v>
      </c>
    </row>
    <row r="32" s="51" customFormat="true" ht="60" hidden="false" customHeight="true" outlineLevel="0" collapsed="false">
      <c r="A32" s="53" t="n">
        <v>46107</v>
      </c>
      <c r="B32" s="76" t="n">
        <v>2.5</v>
      </c>
      <c r="C32" s="67" t="n">
        <v>12350</v>
      </c>
      <c r="D32" s="67" t="n">
        <v>1.5</v>
      </c>
      <c r="E32" s="55" t="n">
        <v>17000</v>
      </c>
      <c r="F32" s="67"/>
      <c r="G32" s="67"/>
      <c r="H32" s="67" t="n">
        <v>9</v>
      </c>
      <c r="I32" s="55" t="n">
        <v>49250</v>
      </c>
      <c r="J32" s="55" t="n">
        <v>1</v>
      </c>
      <c r="K32" s="55" t="n">
        <v>4750</v>
      </c>
      <c r="L32" s="55"/>
      <c r="M32" s="55"/>
      <c r="N32" s="55" t="n">
        <v>12.5</v>
      </c>
      <c r="O32" s="55"/>
      <c r="P32" s="56"/>
      <c r="Q32" s="57" t="n">
        <f aca="false">SUM(B32,D32,F32,H32,J32,L32)</f>
        <v>14</v>
      </c>
      <c r="R32" s="57" t="n">
        <f aca="false">SUM(C32,E32,G32,I32,K32,M32)</f>
        <v>83350</v>
      </c>
      <c r="S32" s="69" t="s">
        <v>119</v>
      </c>
      <c r="T32" s="70"/>
      <c r="U32" s="71"/>
      <c r="V32" s="71"/>
      <c r="W32" s="118" t="n">
        <v>30</v>
      </c>
      <c r="X32" s="118" t="n">
        <v>15600</v>
      </c>
      <c r="Y32" s="142"/>
      <c r="Z32" s="141"/>
      <c r="AA32" s="141"/>
      <c r="AB32" s="49"/>
      <c r="AC32" s="49"/>
      <c r="AD32" s="65" t="n">
        <f aca="false">AD31+C32-V32-X32</f>
        <v>-36650</v>
      </c>
    </row>
    <row r="33" s="51" customFormat="true" ht="60" hidden="false" customHeight="true" outlineLevel="0" collapsed="false">
      <c r="A33" s="53" t="n">
        <v>46108</v>
      </c>
      <c r="B33" s="76" t="n">
        <v>8.5</v>
      </c>
      <c r="C33" s="67" t="n">
        <v>44650</v>
      </c>
      <c r="D33" s="67"/>
      <c r="E33" s="55"/>
      <c r="F33" s="67"/>
      <c r="G33" s="67"/>
      <c r="H33" s="67" t="n">
        <v>4</v>
      </c>
      <c r="I33" s="55" t="n">
        <v>19800</v>
      </c>
      <c r="J33" s="55" t="n">
        <v>3</v>
      </c>
      <c r="K33" s="55" t="n">
        <v>23500</v>
      </c>
      <c r="L33" s="55"/>
      <c r="M33" s="55"/>
      <c r="N33" s="55" t="n">
        <v>19</v>
      </c>
      <c r="O33" s="55" t="n">
        <v>17</v>
      </c>
      <c r="P33" s="56"/>
      <c r="Q33" s="57" t="n">
        <f aca="false">SUM(B33,D33,F33,H33,J33,L33)</f>
        <v>15.5</v>
      </c>
      <c r="R33" s="57" t="n">
        <f aca="false">SUM(C33,E33,G33,I33,K33,M33)</f>
        <v>87950</v>
      </c>
      <c r="S33" s="69" t="s">
        <v>119</v>
      </c>
      <c r="T33" s="70"/>
      <c r="U33" s="71"/>
      <c r="V33" s="71"/>
      <c r="W33" s="118" t="n">
        <v>46.5</v>
      </c>
      <c r="X33" s="118" t="n">
        <v>29100</v>
      </c>
      <c r="Y33" s="142"/>
      <c r="Z33" s="141"/>
      <c r="AA33" s="141"/>
      <c r="AB33" s="49"/>
      <c r="AC33" s="49"/>
      <c r="AD33" s="65" t="n">
        <f aca="false">AD32+C33-V33-X33</f>
        <v>-21100</v>
      </c>
    </row>
    <row r="34" s="51" customFormat="true" ht="60" hidden="false" customHeight="true" outlineLevel="0" collapsed="false">
      <c r="A34" s="53" t="n">
        <v>46109</v>
      </c>
      <c r="B34" s="76" t="n">
        <v>9</v>
      </c>
      <c r="C34" s="67" t="n">
        <v>36000</v>
      </c>
      <c r="D34" s="67" t="n">
        <v>2</v>
      </c>
      <c r="E34" s="55" t="n">
        <v>17250</v>
      </c>
      <c r="F34" s="67" t="n">
        <v>1</v>
      </c>
      <c r="G34" s="67" t="n">
        <v>6150</v>
      </c>
      <c r="H34" s="67" t="n">
        <v>4</v>
      </c>
      <c r="I34" s="55" t="n">
        <v>22400</v>
      </c>
      <c r="J34" s="55" t="n">
        <v>1</v>
      </c>
      <c r="K34" s="55" t="n">
        <v>8050</v>
      </c>
      <c r="L34" s="55"/>
      <c r="M34" s="55"/>
      <c r="N34" s="55" t="n">
        <v>24.5</v>
      </c>
      <c r="O34" s="55" t="n">
        <v>19.5</v>
      </c>
      <c r="P34" s="56"/>
      <c r="Q34" s="57" t="n">
        <f aca="false">SUM(B34,D34,F34,H34,J34,L34)</f>
        <v>17</v>
      </c>
      <c r="R34" s="57" t="n">
        <f aca="false">SUM(C34,E34,G34,I34,K34,M34)</f>
        <v>89850</v>
      </c>
      <c r="S34" s="69" t="s">
        <v>119</v>
      </c>
      <c r="T34" s="70"/>
      <c r="U34" s="71"/>
      <c r="V34" s="71"/>
      <c r="W34" s="118" t="n">
        <v>62</v>
      </c>
      <c r="X34" s="118" t="n">
        <v>39450</v>
      </c>
      <c r="Y34" s="142"/>
      <c r="Z34" s="141"/>
      <c r="AA34" s="141"/>
      <c r="AB34" s="49"/>
      <c r="AC34" s="49"/>
      <c r="AD34" s="65" t="n">
        <f aca="false">AD33+C34-V34-X34</f>
        <v>-24550</v>
      </c>
    </row>
    <row r="35" s="51" customFormat="true" ht="60" hidden="false" customHeight="true" outlineLevel="0" collapsed="false">
      <c r="A35" s="53" t="n">
        <v>46110</v>
      </c>
      <c r="B35" s="76" t="n">
        <v>1</v>
      </c>
      <c r="C35" s="67" t="n">
        <v>4400</v>
      </c>
      <c r="D35" s="67" t="n">
        <v>2</v>
      </c>
      <c r="E35" s="55" t="n">
        <v>16400</v>
      </c>
      <c r="F35" s="67"/>
      <c r="G35" s="67"/>
      <c r="H35" s="67" t="n">
        <v>5</v>
      </c>
      <c r="I35" s="55" t="n">
        <v>30700</v>
      </c>
      <c r="J35" s="55"/>
      <c r="K35" s="55"/>
      <c r="L35" s="55"/>
      <c r="M35" s="55"/>
      <c r="N35" s="55" t="n">
        <v>11.5</v>
      </c>
      <c r="O35" s="55" t="n">
        <v>8</v>
      </c>
      <c r="P35" s="56"/>
      <c r="Q35" s="57" t="n">
        <f aca="false">SUM(B35,D35,F35,H35,J35,L35)</f>
        <v>8</v>
      </c>
      <c r="R35" s="57" t="n">
        <f aca="false">SUM(C35,E35,G35,I35,K35,M35)</f>
        <v>51500</v>
      </c>
      <c r="S35" s="69" t="s">
        <v>121</v>
      </c>
      <c r="T35" s="70"/>
      <c r="U35" s="71"/>
      <c r="V35" s="71"/>
      <c r="W35" s="118" t="n">
        <v>17.5</v>
      </c>
      <c r="X35" s="118" t="n">
        <v>4000</v>
      </c>
      <c r="Y35" s="142"/>
      <c r="Z35" s="141"/>
      <c r="AA35" s="141"/>
      <c r="AB35" s="49"/>
      <c r="AC35" s="49"/>
      <c r="AD35" s="65" t="n">
        <f aca="false">AD34+C35-V35-X35</f>
        <v>-24150</v>
      </c>
    </row>
    <row r="36" s="51" customFormat="true" ht="60" hidden="false" customHeight="true" outlineLevel="0" collapsed="false">
      <c r="A36" s="53" t="n">
        <v>46111</v>
      </c>
      <c r="B36" s="76" t="n">
        <v>4</v>
      </c>
      <c r="C36" s="67" t="n">
        <v>18100</v>
      </c>
      <c r="D36" s="67" t="n">
        <v>1</v>
      </c>
      <c r="E36" s="55" t="n">
        <v>3500</v>
      </c>
      <c r="F36" s="67"/>
      <c r="G36" s="67"/>
      <c r="H36" s="67" t="n">
        <v>3.5</v>
      </c>
      <c r="I36" s="55" t="n">
        <v>25650</v>
      </c>
      <c r="J36" s="55"/>
      <c r="K36" s="55"/>
      <c r="L36" s="55"/>
      <c r="M36" s="55"/>
      <c r="N36" s="55" t="n">
        <v>13.5</v>
      </c>
      <c r="O36" s="55" t="n">
        <v>11</v>
      </c>
      <c r="P36" s="56"/>
      <c r="Q36" s="57" t="n">
        <f aca="false">SUM(B36,D36,F36,H36,J36,L36)</f>
        <v>8.5</v>
      </c>
      <c r="R36" s="57" t="n">
        <f aca="false">SUM(C36,E36,G36,I36,K36,M36)</f>
        <v>47250</v>
      </c>
      <c r="S36" s="69"/>
      <c r="T36" s="70"/>
      <c r="U36" s="71" t="n">
        <v>37.5</v>
      </c>
      <c r="V36" s="71" t="n">
        <v>27650</v>
      </c>
      <c r="W36" s="118"/>
      <c r="X36" s="118"/>
      <c r="Y36" s="142"/>
      <c r="Z36" s="141"/>
      <c r="AA36" s="141"/>
      <c r="AB36" s="49"/>
      <c r="AC36" s="49"/>
      <c r="AD36" s="65" t="n">
        <f aca="false">AD35+C36-V36-X36</f>
        <v>-33700</v>
      </c>
    </row>
    <row r="37" s="51" customFormat="true" ht="60" hidden="false" customHeight="true" outlineLevel="0" collapsed="false">
      <c r="A37" s="53" t="n">
        <v>46112</v>
      </c>
      <c r="B37" s="76" t="n">
        <v>3.5</v>
      </c>
      <c r="C37" s="67" t="n">
        <v>23050</v>
      </c>
      <c r="D37" s="67"/>
      <c r="E37" s="55"/>
      <c r="F37" s="67"/>
      <c r="G37" s="67"/>
      <c r="H37" s="67" t="n">
        <v>3</v>
      </c>
      <c r="I37" s="55" t="n">
        <v>9000</v>
      </c>
      <c r="J37" s="55" t="n">
        <v>1</v>
      </c>
      <c r="K37" s="55" t="n">
        <v>4300</v>
      </c>
      <c r="L37" s="55"/>
      <c r="M37" s="55"/>
      <c r="N37" s="55" t="n">
        <v>11</v>
      </c>
      <c r="O37" s="55" t="n">
        <v>5.5</v>
      </c>
      <c r="P37" s="56" t="n">
        <v>15500</v>
      </c>
      <c r="Q37" s="57" t="n">
        <f aca="false">SUM(B37,D37,F37,H37,J37,L37)</f>
        <v>7.5</v>
      </c>
      <c r="R37" s="57" t="n">
        <f aca="false">SUM(C37,E37,G37,I37,K37,M37)</f>
        <v>36350</v>
      </c>
      <c r="S37" s="69" t="s">
        <v>121</v>
      </c>
      <c r="T37" s="70"/>
      <c r="U37" s="71" t="n">
        <v>47</v>
      </c>
      <c r="V37" s="71" t="n">
        <v>15150</v>
      </c>
      <c r="W37" s="118"/>
      <c r="X37" s="118"/>
      <c r="Y37" s="142"/>
      <c r="Z37" s="141"/>
      <c r="AA37" s="141"/>
      <c r="AB37" s="49"/>
      <c r="AC37" s="49"/>
      <c r="AD37" s="65" t="n">
        <f aca="false">AD36+C37-V37-X37</f>
        <v>-25800</v>
      </c>
    </row>
    <row r="38" s="84" customFormat="true" ht="96.75" hidden="false" customHeight="true" outlineLevel="0" collapsed="false">
      <c r="A38" s="78"/>
      <c r="B38" s="79" t="n">
        <f aca="false">SUM(B7:B37)</f>
        <v>153</v>
      </c>
      <c r="C38" s="79" t="n">
        <f aca="false">SUM(C7:C37)</f>
        <v>843350</v>
      </c>
      <c r="D38" s="79" t="n">
        <f aca="false">SUM(D7:D37)</f>
        <v>46.5</v>
      </c>
      <c r="E38" s="79" t="n">
        <f aca="false">SUM(E7:E37)</f>
        <v>265050</v>
      </c>
      <c r="F38" s="79" t="n">
        <f aca="false">SUM(F7:F37)</f>
        <v>2</v>
      </c>
      <c r="G38" s="79" t="n">
        <f aca="false">SUM(G7:G37)</f>
        <v>10550</v>
      </c>
      <c r="H38" s="79" t="n">
        <f aca="false">SUM(H7:H37)</f>
        <v>209</v>
      </c>
      <c r="I38" s="79" t="n">
        <f aca="false">SUM(I7:I37)</f>
        <v>1285300</v>
      </c>
      <c r="J38" s="79" t="n">
        <f aca="false">SUM(J7:J37)</f>
        <v>30</v>
      </c>
      <c r="K38" s="79" t="n">
        <f aca="false">SUM(K7:K37)</f>
        <v>175650</v>
      </c>
      <c r="L38" s="79" t="n">
        <f aca="false">SUM(L7:L37)</f>
        <v>0</v>
      </c>
      <c r="M38" s="79" t="n">
        <f aca="false">SUM(M7:M37)</f>
        <v>0</v>
      </c>
      <c r="N38" s="79" t="n">
        <f aca="false">SUM(N7:N37)</f>
        <v>545</v>
      </c>
      <c r="O38" s="79" t="n">
        <f aca="false">SUM(O7:O37)</f>
        <v>399.5</v>
      </c>
      <c r="P38" s="79" t="n">
        <f aca="false">SUM(P7:P37)</f>
        <v>83000</v>
      </c>
      <c r="Q38" s="79" t="n">
        <f aca="false">SUM(Q7:Q37)</f>
        <v>440.5</v>
      </c>
      <c r="R38" s="79" t="n">
        <f aca="false">SUM(R7:R37)</f>
        <v>2579900</v>
      </c>
      <c r="S38" s="79" t="n">
        <f aca="false">SUM(S7:S37)</f>
        <v>0</v>
      </c>
      <c r="T38" s="79" t="n">
        <f aca="false">SUM(T7:T37)</f>
        <v>0</v>
      </c>
      <c r="U38" s="79" t="n">
        <f aca="false">SUM(U7:U37)</f>
        <v>422.5</v>
      </c>
      <c r="V38" s="79" t="n">
        <f aca="false">SUM(V7:V37)</f>
        <v>208800</v>
      </c>
      <c r="W38" s="79" t="n">
        <f aca="false">SUM(W7:W37)</f>
        <v>1128.5</v>
      </c>
      <c r="X38" s="79" t="n">
        <f aca="false">SUM(X7:X37)</f>
        <v>660350</v>
      </c>
      <c r="Y38" s="79" t="n">
        <f aca="false">SUM(Y7:Y37)</f>
        <v>0</v>
      </c>
      <c r="Z38" s="79" t="n">
        <f aca="false">SUM(Z7:AA37)</f>
        <v>0</v>
      </c>
      <c r="AA38" s="79"/>
      <c r="AB38" s="79" t="s">
        <v>39</v>
      </c>
      <c r="AC38" s="82"/>
      <c r="AD38" s="83"/>
    </row>
    <row r="39" s="96" customFormat="true" ht="109.5" hidden="false" customHeight="true" outlineLevel="0" collapsed="false">
      <c r="A39" s="85"/>
      <c r="B39" s="86"/>
      <c r="C39" s="86"/>
      <c r="D39" s="86"/>
      <c r="E39" s="86"/>
      <c r="F39" s="86"/>
      <c r="G39" s="86"/>
      <c r="H39" s="87" t="s">
        <v>40</v>
      </c>
      <c r="I39" s="86"/>
      <c r="J39" s="86"/>
      <c r="K39" s="86"/>
      <c r="L39" s="86"/>
      <c r="M39" s="86"/>
      <c r="N39" s="86"/>
      <c r="O39" s="86"/>
      <c r="P39" s="87" t="s">
        <v>40</v>
      </c>
      <c r="Q39" s="88" t="n">
        <f aca="false">SUM(Q7:Q38)</f>
        <v>881</v>
      </c>
      <c r="R39" s="89" t="n">
        <f aca="false">SUM(R7:R38)</f>
        <v>5159800</v>
      </c>
      <c r="S39" s="90"/>
      <c r="T39" s="91"/>
      <c r="U39" s="146"/>
      <c r="V39" s="92" t="n">
        <f aca="false">V38+X38</f>
        <v>869150</v>
      </c>
      <c r="W39" s="92"/>
      <c r="X39" s="92"/>
      <c r="Y39" s="92"/>
      <c r="Z39" s="121"/>
      <c r="AA39" s="93" t="n">
        <f aca="false">C38-V38-X38</f>
        <v>-25800</v>
      </c>
      <c r="AB39" s="95"/>
      <c r="AC39" s="49"/>
      <c r="AD39" s="88" t="n">
        <f aca="false">AD37</f>
        <v>-25800</v>
      </c>
    </row>
    <row r="40" s="51" customFormat="true" ht="31.5" hidden="false" customHeight="true" outlineLevel="0" collapsed="false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49"/>
      <c r="AC40" s="49"/>
      <c r="AD40" s="3"/>
    </row>
    <row r="41" s="51" customFormat="true" ht="60" hidden="false" customHeight="true" outlineLevel="0" collapsed="false">
      <c r="A41" s="97"/>
      <c r="B41" s="97"/>
      <c r="C41" s="98"/>
      <c r="D41" s="98" t="s">
        <v>41</v>
      </c>
      <c r="E41" s="98"/>
      <c r="F41" s="98"/>
      <c r="G41" s="98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9" t="n">
        <f aca="false">R38-R39</f>
        <v>-2579900</v>
      </c>
      <c r="S41" s="97"/>
      <c r="T41" s="97"/>
      <c r="U41" s="97"/>
      <c r="V41" s="97"/>
      <c r="W41" s="97"/>
      <c r="X41" s="97"/>
      <c r="Y41" s="97"/>
      <c r="Z41" s="97"/>
      <c r="AA41" s="97"/>
      <c r="AB41" s="49"/>
      <c r="AC41" s="49"/>
      <c r="AD41" s="3"/>
    </row>
    <row r="42" customFormat="false" ht="25.5" hidden="false" customHeight="false" outlineLevel="0" collapsed="false">
      <c r="AB42" s="2"/>
      <c r="AC42" s="2"/>
      <c r="AD42" s="3"/>
      <c r="AE42" s="4"/>
      <c r="AF42" s="4"/>
    </row>
    <row r="43" customFormat="false" ht="25.5" hidden="false" customHeight="false" outlineLevel="0" collapsed="false">
      <c r="AB43" s="2"/>
      <c r="AC43" s="2"/>
      <c r="AD43" s="3"/>
      <c r="AE43" s="4"/>
      <c r="AF43" s="4"/>
    </row>
    <row r="44" customFormat="false" ht="25.5" hidden="false" customHeight="false" outlineLevel="0" collapsed="false">
      <c r="AB44" s="2"/>
      <c r="AC44" s="2"/>
      <c r="AD44" s="3"/>
      <c r="AE44" s="4"/>
      <c r="AF44" s="4"/>
    </row>
    <row r="45" customFormat="false" ht="25.5" hidden="false" customHeight="false" outlineLevel="0" collapsed="false">
      <c r="AB45" s="2"/>
      <c r="AC45" s="2"/>
      <c r="AD45" s="3"/>
      <c r="AE45" s="4"/>
      <c r="AF45" s="4"/>
    </row>
    <row r="46" customFormat="false" ht="25.5" hidden="false" customHeight="false" outlineLevel="0" collapsed="false">
      <c r="AB46" s="2"/>
      <c r="AC46" s="2"/>
      <c r="AD46" s="3"/>
      <c r="AE46" s="4"/>
      <c r="AF46" s="4"/>
    </row>
    <row r="47" customFormat="false" ht="25.5" hidden="false" customHeight="false" outlineLevel="0" collapsed="false">
      <c r="AB47" s="2"/>
      <c r="AC47" s="2"/>
      <c r="AD47" s="3"/>
      <c r="AE47" s="4"/>
      <c r="AF47" s="4"/>
    </row>
    <row r="48" customFormat="false" ht="25.5" hidden="false" customHeight="false" outlineLevel="0" collapsed="false">
      <c r="AB48" s="2"/>
      <c r="AC48" s="2"/>
      <c r="AD48" s="3"/>
      <c r="AE48" s="4"/>
      <c r="AF48" s="4"/>
    </row>
    <row r="49" customFormat="false" ht="25.5" hidden="false" customHeight="false" outlineLevel="0" collapsed="false">
      <c r="AB49" s="2"/>
      <c r="AC49" s="2"/>
      <c r="AD49" s="3"/>
      <c r="AE49" s="4"/>
      <c r="AF49" s="4"/>
    </row>
    <row r="50" customFormat="false" ht="25.5" hidden="false" customHeight="false" outlineLevel="0" collapsed="false">
      <c r="AB50" s="2"/>
      <c r="AC50" s="2"/>
      <c r="AD50" s="3"/>
      <c r="AE50" s="4"/>
      <c r="AF50" s="4"/>
    </row>
    <row r="51" customFormat="false" ht="25.5" hidden="false" customHeight="false" outlineLevel="0" collapsed="false">
      <c r="AB51" s="2"/>
      <c r="AC51" s="2"/>
      <c r="AD51" s="3"/>
      <c r="AE51" s="4"/>
      <c r="AF51" s="4"/>
    </row>
    <row r="52" customFormat="false" ht="25.5" hidden="false" customHeight="false" outlineLevel="0" collapsed="false">
      <c r="AB52" s="2"/>
      <c r="AC52" s="2"/>
      <c r="AD52" s="3"/>
      <c r="AE52" s="4"/>
      <c r="AF52" s="4"/>
    </row>
    <row r="53" customFormat="false" ht="25.5" hidden="false" customHeight="false" outlineLevel="0" collapsed="false">
      <c r="AB53" s="2"/>
      <c r="AC53" s="2"/>
      <c r="AD53" s="3"/>
      <c r="AE53" s="4"/>
      <c r="AF53" s="4"/>
    </row>
    <row r="54" customFormat="false" ht="25.5" hidden="false" customHeight="false" outlineLevel="0" collapsed="false">
      <c r="AB54" s="2"/>
      <c r="AC54" s="2"/>
      <c r="AD54" s="3"/>
      <c r="AE54" s="4"/>
      <c r="AF54" s="4"/>
    </row>
    <row r="55" customFormat="false" ht="25.5" hidden="false" customHeight="false" outlineLevel="0" collapsed="false">
      <c r="AB55" s="2"/>
      <c r="AC55" s="2"/>
      <c r="AD55" s="3"/>
      <c r="AE55" s="4"/>
      <c r="AF55" s="4"/>
    </row>
    <row r="56" customFormat="false" ht="25.5" hidden="false" customHeight="false" outlineLevel="0" collapsed="false">
      <c r="AB56" s="2"/>
      <c r="AC56" s="2"/>
      <c r="AD56" s="3"/>
      <c r="AE56" s="4"/>
      <c r="AF56" s="4"/>
    </row>
    <row r="57" customFormat="false" ht="25.5" hidden="false" customHeight="false" outlineLevel="0" collapsed="false">
      <c r="AB57" s="2"/>
      <c r="AC57" s="2"/>
      <c r="AD57" s="3"/>
      <c r="AE57" s="4"/>
      <c r="AF57" s="4"/>
    </row>
    <row r="58" customFormat="false" ht="25.5" hidden="false" customHeight="false" outlineLevel="0" collapsed="false">
      <c r="AB58" s="2"/>
      <c r="AC58" s="2"/>
      <c r="AD58" s="3"/>
      <c r="AE58" s="4"/>
      <c r="AF58" s="4"/>
    </row>
    <row r="59" customFormat="false" ht="25.5" hidden="false" customHeight="false" outlineLevel="0" collapsed="false">
      <c r="AB59" s="2"/>
      <c r="AC59" s="2"/>
      <c r="AD59" s="3"/>
      <c r="AE59" s="4"/>
      <c r="AF59" s="4"/>
    </row>
    <row r="60" customFormat="false" ht="25.5" hidden="false" customHeight="false" outlineLevel="0" collapsed="false">
      <c r="AB60" s="2"/>
      <c r="AC60" s="2"/>
      <c r="AD60" s="3"/>
      <c r="AE60" s="4"/>
      <c r="AF60" s="4"/>
    </row>
    <row r="61" customFormat="false" ht="25.5" hidden="false" customHeight="false" outlineLevel="0" collapsed="false">
      <c r="AB61" s="2"/>
      <c r="AC61" s="2"/>
      <c r="AD61" s="3"/>
      <c r="AE61" s="4"/>
      <c r="AF61" s="4"/>
    </row>
    <row r="62" customFormat="false" ht="25.5" hidden="false" customHeight="false" outlineLevel="0" collapsed="false">
      <c r="AB62" s="2"/>
      <c r="AC62" s="2"/>
      <c r="AD62" s="3"/>
      <c r="AE62" s="4"/>
      <c r="AF62" s="4"/>
    </row>
    <row r="63" customFormat="false" ht="25.5" hidden="false" customHeight="false" outlineLevel="0" collapsed="false">
      <c r="AB63" s="2"/>
      <c r="AC63" s="2"/>
      <c r="AD63" s="3"/>
      <c r="AE63" s="4"/>
      <c r="AF63" s="4"/>
    </row>
    <row r="64" customFormat="false" ht="25.5" hidden="false" customHeight="false" outlineLevel="0" collapsed="false">
      <c r="AB64" s="2"/>
      <c r="AC64" s="2"/>
      <c r="AD64" s="3"/>
      <c r="AE64" s="4"/>
      <c r="AF64" s="4"/>
    </row>
    <row r="65" customFormat="false" ht="25.5" hidden="false" customHeight="false" outlineLevel="0" collapsed="false">
      <c r="AB65" s="2"/>
      <c r="AC65" s="2"/>
      <c r="AD65" s="3"/>
      <c r="AE65" s="4"/>
      <c r="AF65" s="4"/>
    </row>
    <row r="66" customFormat="false" ht="25.5" hidden="false" customHeight="false" outlineLevel="0" collapsed="false">
      <c r="AB66" s="2"/>
      <c r="AC66" s="2"/>
      <c r="AD66" s="3"/>
      <c r="AE66" s="4"/>
      <c r="AF66" s="4"/>
    </row>
    <row r="67" customFormat="false" ht="25.5" hidden="false" customHeight="false" outlineLevel="0" collapsed="false">
      <c r="AB67" s="2"/>
      <c r="AC67" s="2"/>
      <c r="AD67" s="3"/>
      <c r="AE67" s="4"/>
      <c r="AF67" s="4"/>
    </row>
    <row r="68" customFormat="false" ht="25.5" hidden="false" customHeight="false" outlineLevel="0" collapsed="false">
      <c r="AB68" s="2"/>
      <c r="AC68" s="2"/>
      <c r="AD68" s="3"/>
      <c r="AE68" s="4"/>
      <c r="AF68" s="4"/>
    </row>
    <row r="69" customFormat="false" ht="25.5" hidden="false" customHeight="false" outlineLevel="0" collapsed="false">
      <c r="AB69" s="2"/>
      <c r="AC69" s="2"/>
      <c r="AD69" s="3"/>
      <c r="AE69" s="4"/>
      <c r="AF69" s="4"/>
    </row>
    <row r="70" customFormat="false" ht="25.5" hidden="false" customHeight="false" outlineLevel="0" collapsed="false">
      <c r="AB70" s="2"/>
      <c r="AC70" s="2"/>
      <c r="AD70" s="3"/>
      <c r="AE70" s="4"/>
      <c r="AF70" s="4"/>
    </row>
    <row r="71" customFormat="false" ht="25.5" hidden="false" customHeight="false" outlineLevel="0" collapsed="false">
      <c r="AB71" s="2"/>
      <c r="AC71" s="2"/>
      <c r="AD71" s="3"/>
      <c r="AE71" s="4"/>
      <c r="AF71" s="4"/>
    </row>
    <row r="72" customFormat="false" ht="25.5" hidden="false" customHeight="false" outlineLevel="0" collapsed="false">
      <c r="AB72" s="2"/>
      <c r="AC72" s="2"/>
      <c r="AD72" s="3"/>
      <c r="AE72" s="4"/>
      <c r="AF72" s="4"/>
    </row>
    <row r="73" customFormat="false" ht="25.5" hidden="false" customHeight="false" outlineLevel="0" collapsed="false">
      <c r="AB73" s="2"/>
      <c r="AC73" s="2"/>
      <c r="AD73" s="3"/>
      <c r="AE73" s="4"/>
      <c r="AF73" s="4"/>
    </row>
    <row r="74" customFormat="false" ht="25.5" hidden="false" customHeight="false" outlineLevel="0" collapsed="false">
      <c r="AB74" s="2"/>
      <c r="AC74" s="2"/>
      <c r="AD74" s="3"/>
      <c r="AE74" s="4"/>
      <c r="AF74" s="4"/>
    </row>
    <row r="75" customFormat="false" ht="25.5" hidden="false" customHeight="false" outlineLevel="0" collapsed="false">
      <c r="AB75" s="2"/>
      <c r="AC75" s="2"/>
      <c r="AD75" s="3"/>
      <c r="AE75" s="4"/>
      <c r="AF75" s="4"/>
    </row>
    <row r="76" customFormat="false" ht="25.5" hidden="false" customHeight="false" outlineLevel="0" collapsed="false">
      <c r="AB76" s="2"/>
      <c r="AC76" s="2"/>
      <c r="AD76" s="3"/>
      <c r="AE76" s="4"/>
      <c r="AF76" s="4"/>
    </row>
    <row r="77" customFormat="false" ht="25.5" hidden="false" customHeight="false" outlineLevel="0" collapsed="false">
      <c r="AB77" s="2"/>
      <c r="AC77" s="2"/>
      <c r="AD77" s="3"/>
      <c r="AE77" s="4"/>
      <c r="AF77" s="4"/>
    </row>
    <row r="78" customFormat="false" ht="25.5" hidden="false" customHeight="false" outlineLevel="0" collapsed="false">
      <c r="AB78" s="2"/>
      <c r="AC78" s="2"/>
      <c r="AD78" s="3"/>
      <c r="AE78" s="4"/>
      <c r="AF78" s="4"/>
    </row>
    <row r="79" customFormat="false" ht="25.5" hidden="false" customHeight="false" outlineLevel="0" collapsed="false">
      <c r="AB79" s="2"/>
      <c r="AC79" s="2"/>
      <c r="AD79" s="3"/>
      <c r="AE79" s="4"/>
      <c r="AF79" s="4"/>
    </row>
    <row r="80" customFormat="false" ht="25.5" hidden="false" customHeight="false" outlineLevel="0" collapsed="false">
      <c r="AB80" s="2"/>
      <c r="AC80" s="2"/>
      <c r="AD80" s="3"/>
      <c r="AE80" s="4"/>
      <c r="AF80" s="4"/>
    </row>
    <row r="81" customFormat="false" ht="25.5" hidden="false" customHeight="false" outlineLevel="0" collapsed="false">
      <c r="AB81" s="2"/>
      <c r="AC81" s="2"/>
      <c r="AD81" s="3"/>
      <c r="AE81" s="4"/>
      <c r="AF81" s="4"/>
    </row>
    <row r="82" customFormat="false" ht="25.5" hidden="false" customHeight="false" outlineLevel="0" collapsed="false">
      <c r="AB82" s="2"/>
      <c r="AC82" s="2"/>
      <c r="AD82" s="3"/>
      <c r="AE82" s="4"/>
      <c r="AF82" s="4"/>
    </row>
    <row r="83" customFormat="false" ht="25.5" hidden="false" customHeight="false" outlineLevel="0" collapsed="false">
      <c r="AB83" s="2"/>
      <c r="AC83" s="2"/>
      <c r="AD83" s="3"/>
      <c r="AE83" s="4"/>
      <c r="AF83" s="4"/>
    </row>
    <row r="84" customFormat="false" ht="25.5" hidden="false" customHeight="false" outlineLevel="0" collapsed="false">
      <c r="AB84" s="2"/>
      <c r="AC84" s="2"/>
      <c r="AD84" s="3"/>
      <c r="AE84" s="4"/>
      <c r="AF84" s="4"/>
    </row>
    <row r="85" customFormat="false" ht="25.5" hidden="false" customHeight="false" outlineLevel="0" collapsed="false">
      <c r="AB85" s="2"/>
      <c r="AC85" s="2"/>
      <c r="AD85" s="3"/>
      <c r="AE85" s="4"/>
      <c r="AF85" s="4"/>
    </row>
    <row r="86" customFormat="false" ht="25.5" hidden="false" customHeight="false" outlineLevel="0" collapsed="false">
      <c r="AB86" s="2"/>
      <c r="AC86" s="2"/>
      <c r="AD86" s="3"/>
      <c r="AE86" s="4"/>
      <c r="AF86" s="4"/>
    </row>
    <row r="87" customFormat="false" ht="25.5" hidden="false" customHeight="false" outlineLevel="0" collapsed="false">
      <c r="AB87" s="2"/>
      <c r="AC87" s="2"/>
      <c r="AD87" s="3"/>
      <c r="AE87" s="4"/>
      <c r="AF87" s="4"/>
    </row>
    <row r="88" customFormat="false" ht="25.5" hidden="false" customHeight="false" outlineLevel="0" collapsed="false">
      <c r="AB88" s="2"/>
      <c r="AC88" s="2"/>
      <c r="AD88" s="3"/>
      <c r="AE88" s="4"/>
      <c r="AF88" s="4"/>
    </row>
    <row r="89" customFormat="false" ht="25.5" hidden="false" customHeight="false" outlineLevel="0" collapsed="false">
      <c r="AB89" s="2"/>
      <c r="AC89" s="2"/>
      <c r="AD89" s="3"/>
      <c r="AE89" s="4"/>
      <c r="AF89" s="4"/>
    </row>
    <row r="90" customFormat="false" ht="25.5" hidden="false" customHeight="false" outlineLevel="0" collapsed="false">
      <c r="AB90" s="2"/>
      <c r="AC90" s="2"/>
      <c r="AD90" s="3"/>
      <c r="AE90" s="4"/>
      <c r="AF90" s="4"/>
    </row>
    <row r="91" customFormat="false" ht="25.5" hidden="false" customHeight="false" outlineLevel="0" collapsed="false">
      <c r="AB91" s="2"/>
      <c r="AC91" s="2"/>
      <c r="AD91" s="3"/>
      <c r="AE91" s="4"/>
      <c r="AF91" s="4"/>
    </row>
    <row r="92" customFormat="false" ht="25.5" hidden="false" customHeight="false" outlineLevel="0" collapsed="false">
      <c r="AB92" s="2"/>
      <c r="AC92" s="2"/>
      <c r="AD92" s="3"/>
      <c r="AE92" s="4"/>
      <c r="AF92" s="4"/>
    </row>
    <row r="93" customFormat="false" ht="25.5" hidden="false" customHeight="false" outlineLevel="0" collapsed="false">
      <c r="AB93" s="2"/>
      <c r="AC93" s="2"/>
      <c r="AD93" s="3"/>
      <c r="AE93" s="4"/>
      <c r="AF93" s="4"/>
    </row>
    <row r="94" customFormat="false" ht="25.5" hidden="false" customHeight="false" outlineLevel="0" collapsed="false">
      <c r="AB94" s="2"/>
      <c r="AC94" s="2"/>
      <c r="AD94" s="3"/>
      <c r="AE94" s="4"/>
      <c r="AF94" s="4"/>
    </row>
    <row r="95" customFormat="false" ht="25.5" hidden="false" customHeight="false" outlineLevel="0" collapsed="false">
      <c r="AB95" s="2"/>
      <c r="AC95" s="2"/>
      <c r="AD95" s="3"/>
      <c r="AE95" s="4"/>
      <c r="AF95" s="4"/>
    </row>
    <row r="96" customFormat="false" ht="25.5" hidden="false" customHeight="false" outlineLevel="0" collapsed="false">
      <c r="AB96" s="2"/>
      <c r="AC96" s="2"/>
      <c r="AD96" s="3"/>
      <c r="AE96" s="4"/>
      <c r="AF96" s="4"/>
    </row>
    <row r="97" customFormat="false" ht="25.5" hidden="false" customHeight="false" outlineLevel="0" collapsed="false">
      <c r="AB97" s="2"/>
      <c r="AC97" s="2"/>
      <c r="AD97" s="3"/>
      <c r="AE97" s="4"/>
      <c r="AF97" s="4"/>
    </row>
    <row r="98" customFormat="false" ht="25.5" hidden="false" customHeight="false" outlineLevel="0" collapsed="false">
      <c r="AB98" s="2"/>
      <c r="AC98" s="2"/>
      <c r="AD98" s="3"/>
      <c r="AE98" s="4"/>
      <c r="AF98" s="4"/>
    </row>
    <row r="99" customFormat="false" ht="25.5" hidden="false" customHeight="false" outlineLevel="0" collapsed="false">
      <c r="AB99" s="2"/>
      <c r="AC99" s="2"/>
      <c r="AD99" s="3"/>
      <c r="AE99" s="4"/>
      <c r="AF99" s="4"/>
    </row>
    <row r="100" customFormat="false" ht="25.5" hidden="false" customHeight="false" outlineLevel="0" collapsed="false">
      <c r="AB100" s="2"/>
      <c r="AC100" s="2"/>
      <c r="AD100" s="3"/>
      <c r="AE100" s="4"/>
      <c r="AF100" s="4"/>
    </row>
    <row r="101" customFormat="false" ht="25.5" hidden="false" customHeight="false" outlineLevel="0" collapsed="false">
      <c r="AB101" s="2"/>
      <c r="AC101" s="2"/>
      <c r="AD101" s="3"/>
      <c r="AE101" s="4"/>
      <c r="AF101" s="4"/>
    </row>
    <row r="102" customFormat="false" ht="25.5" hidden="false" customHeight="false" outlineLevel="0" collapsed="false">
      <c r="AB102" s="2"/>
      <c r="AC102" s="2"/>
      <c r="AD102" s="3"/>
      <c r="AE102" s="4"/>
      <c r="AF102" s="4"/>
    </row>
    <row r="103" customFormat="false" ht="25.5" hidden="false" customHeight="false" outlineLevel="0" collapsed="false">
      <c r="AB103" s="2"/>
      <c r="AC103" s="2"/>
      <c r="AD103" s="3"/>
      <c r="AE103" s="4"/>
      <c r="AF103" s="4"/>
    </row>
    <row r="104" customFormat="false" ht="25.5" hidden="false" customHeight="false" outlineLevel="0" collapsed="false">
      <c r="AB104" s="2"/>
      <c r="AC104" s="2"/>
      <c r="AD104" s="3"/>
      <c r="AE104" s="4"/>
      <c r="AF104" s="4"/>
    </row>
    <row r="105" customFormat="false" ht="25.5" hidden="false" customHeight="false" outlineLevel="0" collapsed="false">
      <c r="AB105" s="2"/>
      <c r="AC105" s="2"/>
      <c r="AD105" s="3"/>
      <c r="AE105" s="4"/>
      <c r="AF105" s="4"/>
    </row>
    <row r="106" customFormat="false" ht="25.5" hidden="false" customHeight="false" outlineLevel="0" collapsed="false">
      <c r="AB106" s="2"/>
      <c r="AC106" s="2"/>
      <c r="AD106" s="3"/>
      <c r="AE106" s="4"/>
      <c r="AF106" s="4"/>
    </row>
    <row r="107" customFormat="false" ht="25.5" hidden="false" customHeight="false" outlineLevel="0" collapsed="false">
      <c r="AB107" s="2"/>
      <c r="AC107" s="2"/>
      <c r="AD107" s="3"/>
      <c r="AE107" s="4"/>
      <c r="AF107" s="4"/>
    </row>
    <row r="108" customFormat="false" ht="25.5" hidden="false" customHeight="false" outlineLevel="0" collapsed="false">
      <c r="AB108" s="2"/>
      <c r="AC108" s="2"/>
      <c r="AD108" s="3"/>
      <c r="AE108" s="4"/>
      <c r="AF108" s="4"/>
    </row>
    <row r="109" customFormat="false" ht="25.5" hidden="false" customHeight="false" outlineLevel="0" collapsed="false">
      <c r="AB109" s="2"/>
      <c r="AC109" s="2"/>
      <c r="AD109" s="3"/>
      <c r="AE109" s="4"/>
      <c r="AF109" s="4"/>
    </row>
    <row r="110" customFormat="false" ht="25.5" hidden="false" customHeight="false" outlineLevel="0" collapsed="false">
      <c r="AB110" s="2"/>
      <c r="AC110" s="2"/>
      <c r="AD110" s="3"/>
      <c r="AE110" s="4"/>
      <c r="AF110" s="4"/>
    </row>
    <row r="111" customFormat="false" ht="25.5" hidden="false" customHeight="false" outlineLevel="0" collapsed="false">
      <c r="AB111" s="2"/>
      <c r="AC111" s="2"/>
      <c r="AD111" s="3"/>
      <c r="AE111" s="4"/>
      <c r="AF111" s="4"/>
    </row>
    <row r="112" customFormat="false" ht="25.5" hidden="false" customHeight="false" outlineLevel="0" collapsed="false">
      <c r="AB112" s="2"/>
      <c r="AC112" s="2"/>
      <c r="AD112" s="3"/>
      <c r="AE112" s="4"/>
      <c r="AF112" s="4"/>
    </row>
    <row r="113" customFormat="false" ht="25.5" hidden="false" customHeight="false" outlineLevel="0" collapsed="false">
      <c r="AB113" s="2"/>
      <c r="AC113" s="2"/>
      <c r="AD113" s="3"/>
      <c r="AE113" s="4"/>
      <c r="AF113" s="4"/>
    </row>
    <row r="114" customFormat="false" ht="25.5" hidden="false" customHeight="false" outlineLevel="0" collapsed="false">
      <c r="AB114" s="2"/>
      <c r="AC114" s="2"/>
      <c r="AD114" s="3"/>
      <c r="AE114" s="4"/>
      <c r="AF114" s="4"/>
    </row>
    <row r="115" customFormat="false" ht="25.5" hidden="false" customHeight="false" outlineLevel="0" collapsed="false">
      <c r="AB115" s="2"/>
      <c r="AC115" s="2"/>
      <c r="AD115" s="3"/>
      <c r="AE115" s="4"/>
      <c r="AF115" s="4"/>
    </row>
    <row r="116" customFormat="false" ht="25.5" hidden="false" customHeight="false" outlineLevel="0" collapsed="false">
      <c r="AB116" s="2"/>
      <c r="AC116" s="2"/>
      <c r="AD116" s="3"/>
      <c r="AE116" s="4"/>
      <c r="AF116" s="4"/>
    </row>
    <row r="117" customFormat="false" ht="25.5" hidden="false" customHeight="false" outlineLevel="0" collapsed="false">
      <c r="AB117" s="2"/>
      <c r="AC117" s="2"/>
      <c r="AD117" s="3"/>
      <c r="AE117" s="4"/>
      <c r="AF117" s="4"/>
    </row>
    <row r="118" customFormat="false" ht="25.5" hidden="false" customHeight="false" outlineLevel="0" collapsed="false">
      <c r="AB118" s="2"/>
      <c r="AC118" s="2"/>
      <c r="AD118" s="3"/>
      <c r="AE118" s="4"/>
      <c r="AF118" s="4"/>
    </row>
    <row r="119" customFormat="false" ht="25.5" hidden="false" customHeight="false" outlineLevel="0" collapsed="false">
      <c r="AB119" s="2"/>
      <c r="AC119" s="2"/>
      <c r="AD119" s="3"/>
      <c r="AE119" s="4"/>
      <c r="AF119" s="4"/>
    </row>
    <row r="120" customFormat="false" ht="25.5" hidden="false" customHeight="false" outlineLevel="0" collapsed="false">
      <c r="AB120" s="2"/>
      <c r="AC120" s="2"/>
      <c r="AD120" s="3"/>
      <c r="AE120" s="4"/>
      <c r="AF120" s="4"/>
    </row>
    <row r="121" customFormat="false" ht="25.5" hidden="false" customHeight="false" outlineLevel="0" collapsed="false">
      <c r="AB121" s="2"/>
      <c r="AC121" s="2"/>
      <c r="AD121" s="3"/>
      <c r="AE121" s="4"/>
      <c r="AF121" s="4"/>
    </row>
    <row r="122" customFormat="false" ht="25.5" hidden="false" customHeight="false" outlineLevel="0" collapsed="false">
      <c r="AB122" s="2"/>
      <c r="AC122" s="2"/>
      <c r="AD122" s="3"/>
      <c r="AE122" s="4"/>
      <c r="AF122" s="4"/>
    </row>
    <row r="123" customFormat="false" ht="25.5" hidden="false" customHeight="false" outlineLevel="0" collapsed="false">
      <c r="AB123" s="2"/>
      <c r="AC123" s="2"/>
      <c r="AD123" s="3"/>
      <c r="AE123" s="4"/>
      <c r="AF123" s="4"/>
    </row>
    <row r="124" customFormat="false" ht="25.5" hidden="false" customHeight="false" outlineLevel="0" collapsed="false">
      <c r="AB124" s="2"/>
      <c r="AC124" s="2"/>
      <c r="AD124" s="3"/>
      <c r="AE124" s="4"/>
      <c r="AF124" s="4"/>
    </row>
    <row r="125" customFormat="false" ht="25.5" hidden="false" customHeight="false" outlineLevel="0" collapsed="false">
      <c r="AB125" s="2"/>
      <c r="AC125" s="2"/>
      <c r="AD125" s="3"/>
      <c r="AE125" s="4"/>
      <c r="AF125" s="4"/>
    </row>
    <row r="126" customFormat="false" ht="25.5" hidden="false" customHeight="false" outlineLevel="0" collapsed="false">
      <c r="AB126" s="2"/>
      <c r="AC126" s="2"/>
      <c r="AD126" s="3"/>
      <c r="AE126" s="4"/>
      <c r="AF126" s="4"/>
    </row>
    <row r="127" customFormat="false" ht="25.5" hidden="false" customHeight="false" outlineLevel="0" collapsed="false">
      <c r="AB127" s="2"/>
      <c r="AC127" s="2"/>
      <c r="AD127" s="3"/>
      <c r="AE127" s="4"/>
      <c r="AF127" s="4"/>
    </row>
    <row r="128" customFormat="false" ht="25.5" hidden="false" customHeight="false" outlineLevel="0" collapsed="false">
      <c r="AB128" s="2"/>
      <c r="AC128" s="2"/>
      <c r="AD128" s="3"/>
      <c r="AE128" s="4"/>
      <c r="AF128" s="4"/>
    </row>
    <row r="129" customFormat="false" ht="25.5" hidden="false" customHeight="false" outlineLevel="0" collapsed="false">
      <c r="AB129" s="2"/>
      <c r="AC129" s="2"/>
      <c r="AD129" s="3"/>
      <c r="AE129" s="4"/>
      <c r="AF129" s="4"/>
    </row>
    <row r="130" customFormat="false" ht="25.5" hidden="false" customHeight="false" outlineLevel="0" collapsed="false">
      <c r="AB130" s="2"/>
      <c r="AC130" s="2"/>
      <c r="AD130" s="3"/>
      <c r="AE130" s="4"/>
      <c r="AF130" s="4"/>
    </row>
    <row r="131" customFormat="false" ht="25.5" hidden="false" customHeight="false" outlineLevel="0" collapsed="false">
      <c r="AB131" s="2"/>
      <c r="AC131" s="2"/>
      <c r="AD131" s="3"/>
      <c r="AE131" s="4"/>
      <c r="AF131" s="4"/>
    </row>
    <row r="132" customFormat="false" ht="25.5" hidden="false" customHeight="false" outlineLevel="0" collapsed="false">
      <c r="AB132" s="2"/>
      <c r="AC132" s="2"/>
      <c r="AD132" s="3"/>
      <c r="AE132" s="4"/>
      <c r="AF132" s="4"/>
    </row>
    <row r="133" customFormat="false" ht="25.5" hidden="false" customHeight="false" outlineLevel="0" collapsed="false">
      <c r="AB133" s="2"/>
      <c r="AC133" s="2"/>
      <c r="AD133" s="3"/>
      <c r="AE133" s="4"/>
      <c r="AF133" s="4"/>
    </row>
    <row r="134" customFormat="false" ht="25.5" hidden="false" customHeight="false" outlineLevel="0" collapsed="false">
      <c r="AB134" s="2"/>
      <c r="AC134" s="2"/>
      <c r="AD134" s="3"/>
      <c r="AE134" s="4"/>
      <c r="AF134" s="4"/>
    </row>
    <row r="135" customFormat="false" ht="25.5" hidden="false" customHeight="false" outlineLevel="0" collapsed="false">
      <c r="AB135" s="2"/>
      <c r="AC135" s="2"/>
      <c r="AD135" s="3"/>
      <c r="AE135" s="4"/>
      <c r="AF135" s="4"/>
    </row>
    <row r="136" customFormat="false" ht="25.5" hidden="false" customHeight="false" outlineLevel="0" collapsed="false">
      <c r="AB136" s="2"/>
      <c r="AC136" s="2"/>
      <c r="AD136" s="3"/>
      <c r="AE136" s="4"/>
      <c r="AF136" s="4"/>
    </row>
    <row r="137" customFormat="false" ht="25.5" hidden="false" customHeight="false" outlineLevel="0" collapsed="false">
      <c r="AB137" s="2"/>
      <c r="AC137" s="2"/>
      <c r="AD137" s="3"/>
      <c r="AE137" s="4"/>
      <c r="AF137" s="4"/>
    </row>
    <row r="138" customFormat="false" ht="25.5" hidden="false" customHeight="false" outlineLevel="0" collapsed="false">
      <c r="AB138" s="2"/>
      <c r="AC138" s="2"/>
      <c r="AD138" s="3"/>
      <c r="AE138" s="4"/>
      <c r="AF138" s="4"/>
    </row>
    <row r="139" customFormat="false" ht="25.5" hidden="false" customHeight="false" outlineLevel="0" collapsed="false">
      <c r="AB139" s="2"/>
      <c r="AC139" s="2"/>
      <c r="AD139" s="3"/>
      <c r="AE139" s="4"/>
      <c r="AF139" s="4"/>
    </row>
    <row r="140" customFormat="false" ht="25.5" hidden="false" customHeight="false" outlineLevel="0" collapsed="false">
      <c r="AB140" s="2"/>
      <c r="AC140" s="2"/>
      <c r="AD140" s="3"/>
      <c r="AE140" s="4"/>
      <c r="AF140" s="4"/>
    </row>
    <row r="141" customFormat="false" ht="25.5" hidden="false" customHeight="false" outlineLevel="0" collapsed="false">
      <c r="AB141" s="2"/>
      <c r="AC141" s="2"/>
      <c r="AD141" s="3"/>
      <c r="AE141" s="4"/>
      <c r="AF141" s="4"/>
    </row>
    <row r="142" customFormat="false" ht="25.5" hidden="false" customHeight="false" outlineLevel="0" collapsed="false">
      <c r="AB142" s="2"/>
      <c r="AC142" s="2"/>
      <c r="AD142" s="3"/>
      <c r="AE142" s="4"/>
      <c r="AF142" s="4"/>
    </row>
    <row r="143" customFormat="false" ht="25.5" hidden="false" customHeight="false" outlineLevel="0" collapsed="false">
      <c r="AB143" s="2"/>
      <c r="AC143" s="2"/>
      <c r="AD143" s="3"/>
      <c r="AE143" s="4"/>
      <c r="AF143" s="4"/>
    </row>
    <row r="144" customFormat="false" ht="25.5" hidden="false" customHeight="false" outlineLevel="0" collapsed="false">
      <c r="AB144" s="2"/>
      <c r="AC144" s="2"/>
      <c r="AD144" s="3"/>
      <c r="AE144" s="4"/>
      <c r="AF144" s="4"/>
    </row>
    <row r="145" customFormat="false" ht="25.5" hidden="false" customHeight="false" outlineLevel="0" collapsed="false">
      <c r="AB145" s="2"/>
      <c r="AC145" s="2"/>
      <c r="AD145" s="3"/>
      <c r="AE145" s="4"/>
      <c r="AF145" s="4"/>
    </row>
    <row r="146" customFormat="false" ht="25.5" hidden="false" customHeight="false" outlineLevel="0" collapsed="false">
      <c r="AB146" s="2"/>
      <c r="AC146" s="2"/>
      <c r="AD146" s="3"/>
      <c r="AE146" s="4"/>
      <c r="AF146" s="4"/>
    </row>
    <row r="147" customFormat="false" ht="25.5" hidden="false" customHeight="false" outlineLevel="0" collapsed="false">
      <c r="AB147" s="2"/>
      <c r="AC147" s="2"/>
      <c r="AD147" s="3"/>
      <c r="AE147" s="4"/>
      <c r="AF147" s="4"/>
    </row>
    <row r="148" customFormat="false" ht="25.5" hidden="false" customHeight="false" outlineLevel="0" collapsed="false">
      <c r="AB148" s="2"/>
      <c r="AC148" s="2"/>
      <c r="AD148" s="3"/>
      <c r="AE148" s="4"/>
      <c r="AF148" s="4"/>
    </row>
    <row r="149" customFormat="false" ht="25.5" hidden="false" customHeight="false" outlineLevel="0" collapsed="false">
      <c r="AB149" s="2"/>
      <c r="AC149" s="2"/>
      <c r="AD149" s="3"/>
      <c r="AE149" s="4"/>
      <c r="AF149" s="4"/>
    </row>
    <row r="150" customFormat="false" ht="25.5" hidden="false" customHeight="false" outlineLevel="0" collapsed="false">
      <c r="AB150" s="2"/>
      <c r="AC150" s="2"/>
      <c r="AD150" s="3"/>
      <c r="AE150" s="4"/>
      <c r="AF150" s="4"/>
    </row>
    <row r="151" customFormat="false" ht="25.5" hidden="false" customHeight="false" outlineLevel="0" collapsed="false">
      <c r="AB151" s="2"/>
      <c r="AC151" s="2"/>
      <c r="AD151" s="3"/>
      <c r="AE151" s="4"/>
      <c r="AF151" s="4"/>
    </row>
    <row r="152" customFormat="false" ht="25.5" hidden="false" customHeight="false" outlineLevel="0" collapsed="false">
      <c r="AB152" s="2"/>
      <c r="AC152" s="2"/>
      <c r="AD152" s="3"/>
      <c r="AE152" s="4"/>
      <c r="AF152" s="4"/>
    </row>
    <row r="153" customFormat="false" ht="25.5" hidden="false" customHeight="false" outlineLevel="0" collapsed="false">
      <c r="AB153" s="2"/>
      <c r="AC153" s="2"/>
      <c r="AD153" s="3"/>
      <c r="AE153" s="4"/>
      <c r="AF153" s="4"/>
    </row>
    <row r="154" customFormat="false" ht="25.5" hidden="false" customHeight="false" outlineLevel="0" collapsed="false">
      <c r="AB154" s="2"/>
      <c r="AC154" s="2"/>
      <c r="AD154" s="3"/>
      <c r="AE154" s="4"/>
      <c r="AF154" s="4"/>
    </row>
    <row r="155" customFormat="false" ht="25.5" hidden="false" customHeight="false" outlineLevel="0" collapsed="false">
      <c r="AB155" s="2"/>
      <c r="AC155" s="2"/>
      <c r="AD155" s="3"/>
      <c r="AE155" s="4"/>
      <c r="AF155" s="4"/>
    </row>
    <row r="156" customFormat="false" ht="25.5" hidden="false" customHeight="false" outlineLevel="0" collapsed="false">
      <c r="AB156" s="2"/>
      <c r="AC156" s="2"/>
      <c r="AD156" s="3"/>
      <c r="AE156" s="4"/>
      <c r="AF156" s="4"/>
    </row>
    <row r="157" customFormat="false" ht="25.5" hidden="false" customHeight="false" outlineLevel="0" collapsed="false">
      <c r="AB157" s="2"/>
      <c r="AC157" s="2"/>
      <c r="AD157" s="3"/>
      <c r="AE157" s="4"/>
      <c r="AF157" s="4"/>
    </row>
    <row r="158" customFormat="false" ht="25.5" hidden="false" customHeight="false" outlineLevel="0" collapsed="false">
      <c r="AB158" s="2"/>
      <c r="AC158" s="2"/>
      <c r="AD158" s="3"/>
      <c r="AE158" s="4"/>
      <c r="AF158" s="4"/>
    </row>
    <row r="159" customFormat="false" ht="25.5" hidden="false" customHeight="false" outlineLevel="0" collapsed="false">
      <c r="AB159" s="2"/>
      <c r="AC159" s="2"/>
      <c r="AD159" s="3"/>
      <c r="AE159" s="4"/>
      <c r="AF159" s="4"/>
    </row>
    <row r="160" customFormat="false" ht="25.5" hidden="false" customHeight="false" outlineLevel="0" collapsed="false">
      <c r="AB160" s="2"/>
      <c r="AC160" s="2"/>
      <c r="AD160" s="3"/>
      <c r="AE160" s="4"/>
      <c r="AF160" s="4"/>
    </row>
    <row r="161" customFormat="false" ht="25.5" hidden="false" customHeight="false" outlineLevel="0" collapsed="false">
      <c r="AB161" s="2"/>
      <c r="AC161" s="2"/>
      <c r="AD161" s="3"/>
      <c r="AE161" s="4"/>
      <c r="AF161" s="4"/>
    </row>
    <row r="162" customFormat="false" ht="25.5" hidden="false" customHeight="false" outlineLevel="0" collapsed="false">
      <c r="AB162" s="2"/>
      <c r="AC162" s="2"/>
      <c r="AD162" s="3"/>
      <c r="AE162" s="4"/>
      <c r="AF162" s="4"/>
    </row>
    <row r="163" customFormat="false" ht="25.5" hidden="false" customHeight="false" outlineLevel="0" collapsed="false">
      <c r="AB163" s="2"/>
      <c r="AC163" s="2"/>
      <c r="AD163" s="3"/>
      <c r="AE163" s="4"/>
      <c r="AF163" s="4"/>
    </row>
    <row r="164" customFormat="false" ht="25.5" hidden="false" customHeight="false" outlineLevel="0" collapsed="false">
      <c r="AB164" s="2"/>
      <c r="AC164" s="2"/>
      <c r="AD164" s="3"/>
      <c r="AE164" s="4"/>
      <c r="AF164" s="4"/>
    </row>
    <row r="165" customFormat="false" ht="25.5" hidden="false" customHeight="false" outlineLevel="0" collapsed="false">
      <c r="AB165" s="2"/>
      <c r="AC165" s="2"/>
      <c r="AD165" s="3"/>
      <c r="AE165" s="4"/>
      <c r="AF165" s="4"/>
    </row>
    <row r="166" customFormat="false" ht="25.5" hidden="false" customHeight="false" outlineLevel="0" collapsed="false">
      <c r="AB166" s="2"/>
      <c r="AC166" s="2"/>
      <c r="AD166" s="3"/>
      <c r="AE166" s="4"/>
      <c r="AF166" s="4"/>
    </row>
    <row r="167" customFormat="false" ht="25.5" hidden="false" customHeight="false" outlineLevel="0" collapsed="false">
      <c r="AB167" s="2"/>
      <c r="AC167" s="2"/>
      <c r="AD167" s="3"/>
      <c r="AE167" s="4"/>
      <c r="AF167" s="4"/>
    </row>
    <row r="168" customFormat="false" ht="25.5" hidden="false" customHeight="false" outlineLevel="0" collapsed="false">
      <c r="AB168" s="2"/>
      <c r="AC168" s="2"/>
      <c r="AD168" s="3"/>
      <c r="AE168" s="4"/>
      <c r="AF168" s="4"/>
    </row>
    <row r="169" customFormat="false" ht="25.5" hidden="false" customHeight="false" outlineLevel="0" collapsed="false">
      <c r="AB169" s="2"/>
      <c r="AC169" s="2"/>
      <c r="AD169" s="3"/>
      <c r="AE169" s="4"/>
      <c r="AF169" s="4"/>
    </row>
    <row r="170" customFormat="false" ht="25.5" hidden="false" customHeight="false" outlineLevel="0" collapsed="false">
      <c r="AB170" s="2"/>
      <c r="AC170" s="2"/>
      <c r="AD170" s="3"/>
      <c r="AE170" s="4"/>
      <c r="AF170" s="4"/>
    </row>
    <row r="171" customFormat="false" ht="25.5" hidden="false" customHeight="false" outlineLevel="0" collapsed="false">
      <c r="AB171" s="2"/>
      <c r="AC171" s="2"/>
      <c r="AD171" s="3"/>
      <c r="AE171" s="4"/>
      <c r="AF171" s="4"/>
    </row>
    <row r="172" customFormat="false" ht="25.5" hidden="false" customHeight="false" outlineLevel="0" collapsed="false">
      <c r="AB172" s="2"/>
      <c r="AC172" s="2"/>
      <c r="AD172" s="3"/>
      <c r="AE172" s="4"/>
      <c r="AF172" s="4"/>
    </row>
    <row r="173" customFormat="false" ht="25.5" hidden="false" customHeight="false" outlineLevel="0" collapsed="false">
      <c r="AB173" s="2"/>
      <c r="AC173" s="2"/>
      <c r="AD173" s="3"/>
      <c r="AE173" s="4"/>
      <c r="AF173" s="4"/>
    </row>
    <row r="174" customFormat="false" ht="25.5" hidden="false" customHeight="false" outlineLevel="0" collapsed="false">
      <c r="AB174" s="2"/>
      <c r="AC174" s="2"/>
      <c r="AD174" s="3"/>
      <c r="AE174" s="4"/>
      <c r="AF174" s="4"/>
    </row>
    <row r="175" customFormat="false" ht="25.5" hidden="false" customHeight="false" outlineLevel="0" collapsed="false">
      <c r="AB175" s="2"/>
      <c r="AC175" s="2"/>
      <c r="AD175" s="3"/>
      <c r="AE175" s="4"/>
      <c r="AF175" s="4"/>
    </row>
    <row r="176" customFormat="false" ht="25.5" hidden="false" customHeight="false" outlineLevel="0" collapsed="false">
      <c r="AB176" s="2"/>
      <c r="AC176" s="2"/>
      <c r="AD176" s="3"/>
      <c r="AE176" s="4"/>
      <c r="AF176" s="4"/>
    </row>
    <row r="177" customFormat="false" ht="25.5" hidden="false" customHeight="false" outlineLevel="0" collapsed="false">
      <c r="AB177" s="2"/>
      <c r="AC177" s="2"/>
      <c r="AD177" s="3"/>
      <c r="AE177" s="4"/>
      <c r="AF177" s="4"/>
    </row>
    <row r="178" customFormat="false" ht="25.5" hidden="false" customHeight="false" outlineLevel="0" collapsed="false">
      <c r="AB178" s="2"/>
      <c r="AC178" s="2"/>
      <c r="AD178" s="3"/>
      <c r="AE178" s="4"/>
      <c r="AF178" s="4"/>
    </row>
    <row r="179" customFormat="false" ht="25.5" hidden="false" customHeight="false" outlineLevel="0" collapsed="false">
      <c r="AB179" s="2"/>
      <c r="AC179" s="2"/>
      <c r="AD179" s="3"/>
      <c r="AE179" s="4"/>
      <c r="AF179" s="4"/>
    </row>
    <row r="180" customFormat="false" ht="25.5" hidden="false" customHeight="false" outlineLevel="0" collapsed="false">
      <c r="AB180" s="2"/>
      <c r="AC180" s="2"/>
      <c r="AD180" s="3"/>
      <c r="AE180" s="4"/>
      <c r="AF180" s="4"/>
    </row>
    <row r="181" customFormat="false" ht="25.5" hidden="false" customHeight="false" outlineLevel="0" collapsed="false">
      <c r="AB181" s="2"/>
      <c r="AC181" s="2"/>
      <c r="AD181" s="3"/>
      <c r="AE181" s="4"/>
      <c r="AF181" s="4"/>
    </row>
    <row r="182" customFormat="false" ht="25.5" hidden="false" customHeight="false" outlineLevel="0" collapsed="false">
      <c r="AB182" s="2"/>
      <c r="AC182" s="2"/>
      <c r="AD182" s="3"/>
      <c r="AE182" s="4"/>
      <c r="AF182" s="4"/>
    </row>
    <row r="183" customFormat="false" ht="25.5" hidden="false" customHeight="false" outlineLevel="0" collapsed="false">
      <c r="AB183" s="2"/>
      <c r="AC183" s="2"/>
      <c r="AD183" s="3"/>
      <c r="AE183" s="4"/>
      <c r="AF183" s="4"/>
    </row>
    <row r="184" customFormat="false" ht="25.5" hidden="false" customHeight="false" outlineLevel="0" collapsed="false">
      <c r="AB184" s="2"/>
      <c r="AC184" s="2"/>
      <c r="AD184" s="3"/>
      <c r="AE184" s="4"/>
      <c r="AF184" s="4"/>
    </row>
    <row r="185" customFormat="false" ht="25.5" hidden="false" customHeight="false" outlineLevel="0" collapsed="false">
      <c r="AB185" s="2"/>
      <c r="AC185" s="2"/>
      <c r="AD185" s="3"/>
      <c r="AE185" s="4"/>
      <c r="AF185" s="4"/>
    </row>
    <row r="186" customFormat="false" ht="25.5" hidden="false" customHeight="false" outlineLevel="0" collapsed="false">
      <c r="AB186" s="2"/>
      <c r="AC186" s="2"/>
      <c r="AD186" s="3"/>
      <c r="AE186" s="4"/>
      <c r="AF186" s="4"/>
    </row>
    <row r="187" customFormat="false" ht="25.5" hidden="false" customHeight="false" outlineLevel="0" collapsed="false">
      <c r="AB187" s="2"/>
      <c r="AC187" s="2"/>
      <c r="AD187" s="3"/>
      <c r="AE187" s="4"/>
      <c r="AF187" s="4"/>
    </row>
    <row r="188" customFormat="false" ht="25.5" hidden="false" customHeight="false" outlineLevel="0" collapsed="false">
      <c r="AB188" s="2"/>
      <c r="AC188" s="2"/>
      <c r="AD188" s="3"/>
      <c r="AE188" s="4"/>
      <c r="AF188" s="4"/>
    </row>
    <row r="189" customFormat="false" ht="25.5" hidden="false" customHeight="false" outlineLevel="0" collapsed="false">
      <c r="AB189" s="2"/>
      <c r="AC189" s="2"/>
      <c r="AD189" s="3"/>
      <c r="AE189" s="4"/>
      <c r="AF189" s="4"/>
    </row>
    <row r="190" customFormat="false" ht="25.5" hidden="false" customHeight="false" outlineLevel="0" collapsed="false">
      <c r="AB190" s="2"/>
      <c r="AC190" s="2"/>
      <c r="AD190" s="3"/>
      <c r="AE190" s="4"/>
      <c r="AF190" s="4"/>
    </row>
    <row r="191" customFormat="false" ht="25.5" hidden="false" customHeight="false" outlineLevel="0" collapsed="false">
      <c r="AB191" s="2"/>
      <c r="AC191" s="2"/>
      <c r="AD191" s="3"/>
      <c r="AE191" s="4"/>
      <c r="AF191" s="4"/>
    </row>
    <row r="192" customFormat="false" ht="25.5" hidden="false" customHeight="false" outlineLevel="0" collapsed="false">
      <c r="AB192" s="2"/>
      <c r="AC192" s="2"/>
      <c r="AD192" s="3"/>
      <c r="AE192" s="4"/>
      <c r="AF192" s="4"/>
    </row>
    <row r="193" customFormat="false" ht="25.5" hidden="false" customHeight="false" outlineLevel="0" collapsed="false">
      <c r="AB193" s="2"/>
      <c r="AC193" s="2"/>
      <c r="AD193" s="3"/>
      <c r="AE193" s="4"/>
      <c r="AF193" s="4"/>
    </row>
    <row r="194" customFormat="false" ht="25.5" hidden="false" customHeight="false" outlineLevel="0" collapsed="false">
      <c r="AB194" s="2"/>
      <c r="AC194" s="2"/>
      <c r="AD194" s="3"/>
      <c r="AE194" s="4"/>
      <c r="AF194" s="4"/>
    </row>
    <row r="195" customFormat="false" ht="25.5" hidden="false" customHeight="false" outlineLevel="0" collapsed="false">
      <c r="AB195" s="2"/>
      <c r="AC195" s="2"/>
      <c r="AD195" s="3"/>
      <c r="AE195" s="4"/>
      <c r="AF195" s="4"/>
    </row>
    <row r="196" customFormat="false" ht="25.5" hidden="false" customHeight="false" outlineLevel="0" collapsed="false">
      <c r="AB196" s="2"/>
      <c r="AC196" s="2"/>
      <c r="AD196" s="3"/>
      <c r="AE196" s="4"/>
      <c r="AF196" s="4"/>
    </row>
    <row r="197" customFormat="false" ht="25.5" hidden="false" customHeight="false" outlineLevel="0" collapsed="false">
      <c r="AB197" s="2"/>
      <c r="AC197" s="2"/>
      <c r="AD197" s="3"/>
      <c r="AE197" s="4"/>
      <c r="AF197" s="4"/>
    </row>
    <row r="198" customFormat="false" ht="25.5" hidden="false" customHeight="false" outlineLevel="0" collapsed="false">
      <c r="AB198" s="2"/>
      <c r="AC198" s="2"/>
      <c r="AD198" s="3"/>
      <c r="AE198" s="4"/>
      <c r="AF198" s="4"/>
    </row>
    <row r="199" customFormat="false" ht="25.5" hidden="false" customHeight="false" outlineLevel="0" collapsed="false">
      <c r="AB199" s="2"/>
      <c r="AC199" s="2"/>
      <c r="AD199" s="3"/>
      <c r="AE199" s="4"/>
      <c r="AF199" s="4"/>
    </row>
    <row r="200" customFormat="false" ht="25.5" hidden="false" customHeight="false" outlineLevel="0" collapsed="false">
      <c r="AB200" s="2"/>
      <c r="AC200" s="2"/>
      <c r="AD200" s="3"/>
      <c r="AE200" s="4"/>
      <c r="AF200" s="4"/>
    </row>
    <row r="201" customFormat="false" ht="25.5" hidden="false" customHeight="false" outlineLevel="0" collapsed="false">
      <c r="AB201" s="2"/>
      <c r="AC201" s="2"/>
      <c r="AD201" s="3"/>
      <c r="AE201" s="4"/>
      <c r="AF201" s="4"/>
    </row>
    <row r="202" customFormat="false" ht="25.5" hidden="false" customHeight="false" outlineLevel="0" collapsed="false">
      <c r="AB202" s="2"/>
      <c r="AC202" s="2"/>
      <c r="AD202" s="3"/>
      <c r="AE202" s="4"/>
      <c r="AF202" s="4"/>
    </row>
    <row r="203" customFormat="false" ht="25.5" hidden="false" customHeight="false" outlineLevel="0" collapsed="false">
      <c r="AB203" s="2"/>
      <c r="AC203" s="2"/>
      <c r="AD203" s="3"/>
      <c r="AE203" s="4"/>
      <c r="AF203" s="4"/>
    </row>
    <row r="204" customFormat="false" ht="25.5" hidden="false" customHeight="false" outlineLevel="0" collapsed="false">
      <c r="AB204" s="2"/>
      <c r="AC204" s="2"/>
      <c r="AD204" s="3"/>
      <c r="AE204" s="4"/>
      <c r="AF204" s="4"/>
    </row>
    <row r="205" customFormat="false" ht="25.5" hidden="false" customHeight="false" outlineLevel="0" collapsed="false">
      <c r="AB205" s="2"/>
      <c r="AC205" s="2"/>
      <c r="AD205" s="3"/>
      <c r="AE205" s="4"/>
      <c r="AF205" s="4"/>
    </row>
    <row r="206" customFormat="false" ht="25.5" hidden="false" customHeight="false" outlineLevel="0" collapsed="false">
      <c r="AB206" s="2"/>
      <c r="AC206" s="2"/>
      <c r="AD206" s="3"/>
      <c r="AE206" s="4"/>
      <c r="AF206" s="4"/>
    </row>
    <row r="207" customFormat="false" ht="25.5" hidden="false" customHeight="false" outlineLevel="0" collapsed="false">
      <c r="AB207" s="2"/>
      <c r="AC207" s="2"/>
      <c r="AD207" s="3"/>
      <c r="AE207" s="4"/>
      <c r="AF207" s="4"/>
    </row>
    <row r="208" customFormat="false" ht="25.5" hidden="false" customHeight="false" outlineLevel="0" collapsed="false">
      <c r="AB208" s="2"/>
      <c r="AC208" s="2"/>
      <c r="AD208" s="3"/>
      <c r="AE208" s="4"/>
      <c r="AF208" s="4"/>
    </row>
    <row r="209" customFormat="false" ht="25.5" hidden="false" customHeight="false" outlineLevel="0" collapsed="false">
      <c r="AB209" s="2"/>
      <c r="AC209" s="2"/>
      <c r="AD209" s="3"/>
      <c r="AE209" s="4"/>
      <c r="AF209" s="4"/>
    </row>
    <row r="210" customFormat="false" ht="25.5" hidden="false" customHeight="false" outlineLevel="0" collapsed="false">
      <c r="AB210" s="2"/>
      <c r="AC210" s="2"/>
      <c r="AD210" s="3"/>
      <c r="AE210" s="4"/>
      <c r="AF210" s="4"/>
    </row>
    <row r="211" customFormat="false" ht="25.5" hidden="false" customHeight="false" outlineLevel="0" collapsed="false">
      <c r="AB211" s="2"/>
      <c r="AC211" s="2"/>
      <c r="AD211" s="3"/>
      <c r="AE211" s="4"/>
      <c r="AF211" s="4"/>
    </row>
    <row r="212" customFormat="false" ht="25.5" hidden="false" customHeight="false" outlineLevel="0" collapsed="false">
      <c r="AB212" s="2"/>
      <c r="AC212" s="2"/>
      <c r="AD212" s="3"/>
      <c r="AE212" s="4"/>
      <c r="AF212" s="4"/>
    </row>
    <row r="213" customFormat="false" ht="25.5" hidden="false" customHeight="false" outlineLevel="0" collapsed="false">
      <c r="AB213" s="2"/>
      <c r="AC213" s="2"/>
      <c r="AD213" s="3"/>
      <c r="AE213" s="4"/>
      <c r="AF213" s="4"/>
    </row>
    <row r="214" customFormat="false" ht="25.5" hidden="false" customHeight="false" outlineLevel="0" collapsed="false">
      <c r="AB214" s="2"/>
      <c r="AC214" s="2"/>
      <c r="AD214" s="3"/>
      <c r="AE214" s="4"/>
      <c r="AF214" s="4"/>
    </row>
    <row r="215" customFormat="false" ht="25.5" hidden="false" customHeight="false" outlineLevel="0" collapsed="false">
      <c r="AB215" s="2"/>
      <c r="AC215" s="2"/>
      <c r="AD215" s="3"/>
      <c r="AE215" s="4"/>
      <c r="AF215" s="4"/>
    </row>
    <row r="216" customFormat="false" ht="25.5" hidden="false" customHeight="false" outlineLevel="0" collapsed="false">
      <c r="AB216" s="2"/>
      <c r="AC216" s="2"/>
      <c r="AD216" s="3"/>
      <c r="AE216" s="4"/>
      <c r="AF216" s="4"/>
    </row>
    <row r="217" customFormat="false" ht="25.5" hidden="false" customHeight="false" outlineLevel="0" collapsed="false">
      <c r="AB217" s="2"/>
      <c r="AC217" s="2"/>
      <c r="AD217" s="3"/>
      <c r="AE217" s="4"/>
      <c r="AF217" s="4"/>
    </row>
    <row r="218" customFormat="false" ht="25.5" hidden="false" customHeight="false" outlineLevel="0" collapsed="false">
      <c r="AB218" s="2"/>
      <c r="AC218" s="2"/>
      <c r="AD218" s="3"/>
      <c r="AE218" s="4"/>
      <c r="AF218" s="4"/>
    </row>
    <row r="219" customFormat="false" ht="25.5" hidden="false" customHeight="false" outlineLevel="0" collapsed="false">
      <c r="AB219" s="2"/>
      <c r="AC219" s="2"/>
      <c r="AD219" s="3"/>
      <c r="AE219" s="4"/>
      <c r="AF219" s="4"/>
    </row>
    <row r="220" customFormat="false" ht="25.5" hidden="false" customHeight="false" outlineLevel="0" collapsed="false">
      <c r="AB220" s="2"/>
      <c r="AC220" s="2"/>
      <c r="AD220" s="3"/>
      <c r="AE220" s="4"/>
      <c r="AF220" s="4"/>
    </row>
    <row r="221" customFormat="false" ht="25.5" hidden="false" customHeight="false" outlineLevel="0" collapsed="false">
      <c r="AB221" s="2"/>
      <c r="AC221" s="2"/>
      <c r="AD221" s="3"/>
      <c r="AE221" s="4"/>
      <c r="AF221" s="4"/>
    </row>
    <row r="222" customFormat="false" ht="25.5" hidden="false" customHeight="false" outlineLevel="0" collapsed="false">
      <c r="AB222" s="2"/>
      <c r="AC222" s="2"/>
      <c r="AD222" s="3"/>
      <c r="AE222" s="4"/>
      <c r="AF222" s="4"/>
    </row>
    <row r="223" customFormat="false" ht="25.5" hidden="false" customHeight="false" outlineLevel="0" collapsed="false">
      <c r="AB223" s="2"/>
      <c r="AC223" s="2"/>
      <c r="AD223" s="3"/>
      <c r="AE223" s="4"/>
      <c r="AF223" s="4"/>
    </row>
    <row r="224" customFormat="false" ht="25.5" hidden="false" customHeight="false" outlineLevel="0" collapsed="false">
      <c r="AB224" s="2"/>
      <c r="AC224" s="2"/>
      <c r="AD224" s="3"/>
      <c r="AE224" s="4"/>
      <c r="AF224" s="4"/>
    </row>
    <row r="225" customFormat="false" ht="25.5" hidden="false" customHeight="false" outlineLevel="0" collapsed="false">
      <c r="AB225" s="2"/>
      <c r="AC225" s="2"/>
      <c r="AD225" s="3"/>
      <c r="AE225" s="4"/>
      <c r="AF225" s="4"/>
    </row>
    <row r="226" customFormat="false" ht="25.5" hidden="false" customHeight="false" outlineLevel="0" collapsed="false">
      <c r="AB226" s="2"/>
      <c r="AC226" s="2"/>
      <c r="AD226" s="3"/>
      <c r="AE226" s="4"/>
      <c r="AF226" s="4"/>
    </row>
    <row r="227" customFormat="false" ht="25.5" hidden="false" customHeight="false" outlineLevel="0" collapsed="false">
      <c r="AB227" s="2"/>
      <c r="AC227" s="2"/>
      <c r="AD227" s="3"/>
      <c r="AE227" s="4"/>
      <c r="AF227" s="4"/>
    </row>
    <row r="228" customFormat="false" ht="25.5" hidden="false" customHeight="false" outlineLevel="0" collapsed="false">
      <c r="AB228" s="2"/>
      <c r="AC228" s="2"/>
      <c r="AD228" s="3"/>
      <c r="AE228" s="4"/>
      <c r="AF228" s="4"/>
    </row>
    <row r="229" customFormat="false" ht="25.5" hidden="false" customHeight="false" outlineLevel="0" collapsed="false">
      <c r="AB229" s="2"/>
      <c r="AC229" s="2"/>
      <c r="AD229" s="3"/>
      <c r="AE229" s="4"/>
      <c r="AF229" s="4"/>
    </row>
    <row r="230" customFormat="false" ht="25.5" hidden="false" customHeight="false" outlineLevel="0" collapsed="false">
      <c r="AB230" s="2"/>
      <c r="AC230" s="2"/>
      <c r="AD230" s="3"/>
      <c r="AE230" s="4"/>
      <c r="AF230" s="4"/>
    </row>
    <row r="231" customFormat="false" ht="25.5" hidden="false" customHeight="false" outlineLevel="0" collapsed="false">
      <c r="AB231" s="2"/>
      <c r="AC231" s="2"/>
      <c r="AD231" s="3"/>
      <c r="AE231" s="4"/>
      <c r="AF231" s="4"/>
    </row>
    <row r="232" customFormat="false" ht="25.5" hidden="false" customHeight="false" outlineLevel="0" collapsed="false">
      <c r="AB232" s="2"/>
      <c r="AC232" s="2"/>
      <c r="AD232" s="3"/>
      <c r="AE232" s="4"/>
      <c r="AF232" s="4"/>
    </row>
    <row r="233" customFormat="false" ht="25.5" hidden="false" customHeight="false" outlineLevel="0" collapsed="false">
      <c r="AB233" s="2"/>
      <c r="AC233" s="2"/>
      <c r="AD233" s="3"/>
      <c r="AE233" s="4"/>
      <c r="AF233" s="4"/>
    </row>
    <row r="234" customFormat="false" ht="25.5" hidden="false" customHeight="false" outlineLevel="0" collapsed="false">
      <c r="AB234" s="2"/>
      <c r="AC234" s="2"/>
      <c r="AD234" s="3"/>
      <c r="AE234" s="4"/>
      <c r="AF234" s="4"/>
    </row>
    <row r="235" customFormat="false" ht="25.5" hidden="false" customHeight="false" outlineLevel="0" collapsed="false">
      <c r="AB235" s="2"/>
      <c r="AC235" s="2"/>
      <c r="AD235" s="3"/>
      <c r="AE235" s="4"/>
      <c r="AF235" s="4"/>
    </row>
    <row r="236" customFormat="false" ht="25.5" hidden="false" customHeight="false" outlineLevel="0" collapsed="false">
      <c r="AB236" s="2"/>
      <c r="AC236" s="2"/>
      <c r="AD236" s="3"/>
      <c r="AE236" s="4"/>
      <c r="AF236" s="4"/>
    </row>
    <row r="237" customFormat="false" ht="25.5" hidden="false" customHeight="false" outlineLevel="0" collapsed="false">
      <c r="AB237" s="2"/>
      <c r="AC237" s="2"/>
      <c r="AD237" s="3"/>
      <c r="AE237" s="4"/>
      <c r="AF237" s="4"/>
    </row>
    <row r="238" customFormat="false" ht="25.5" hidden="false" customHeight="false" outlineLevel="0" collapsed="false">
      <c r="AB238" s="2"/>
      <c r="AC238" s="2"/>
      <c r="AD238" s="3"/>
      <c r="AE238" s="4"/>
      <c r="AF238" s="4"/>
    </row>
    <row r="239" customFormat="false" ht="25.5" hidden="false" customHeight="false" outlineLevel="0" collapsed="false">
      <c r="AB239" s="2"/>
      <c r="AC239" s="2"/>
      <c r="AD239" s="3"/>
      <c r="AE239" s="4"/>
      <c r="AF239" s="4"/>
    </row>
    <row r="240" customFormat="false" ht="25.5" hidden="false" customHeight="false" outlineLevel="0" collapsed="false">
      <c r="AB240" s="2"/>
      <c r="AC240" s="2"/>
      <c r="AD240" s="3"/>
      <c r="AE240" s="4"/>
      <c r="AF240" s="4"/>
    </row>
    <row r="241" customFormat="false" ht="25.5" hidden="false" customHeight="false" outlineLevel="0" collapsed="false">
      <c r="AB241" s="2"/>
      <c r="AC241" s="2"/>
      <c r="AD241" s="3"/>
      <c r="AE241" s="4"/>
      <c r="AF241" s="4"/>
    </row>
    <row r="242" customFormat="false" ht="25.5" hidden="false" customHeight="false" outlineLevel="0" collapsed="false">
      <c r="AB242" s="2"/>
      <c r="AC242" s="2"/>
      <c r="AD242" s="3"/>
      <c r="AE242" s="4"/>
      <c r="AF242" s="4"/>
    </row>
    <row r="243" customFormat="false" ht="25.5" hidden="false" customHeight="false" outlineLevel="0" collapsed="false">
      <c r="AB243" s="2"/>
      <c r="AC243" s="2"/>
      <c r="AD243" s="3"/>
      <c r="AE243" s="4"/>
      <c r="AF243" s="4"/>
    </row>
    <row r="244" customFormat="false" ht="25.5" hidden="false" customHeight="false" outlineLevel="0" collapsed="false">
      <c r="AB244" s="2"/>
      <c r="AC244" s="2"/>
      <c r="AD244" s="3"/>
      <c r="AE244" s="4"/>
      <c r="AF244" s="4"/>
    </row>
    <row r="245" customFormat="false" ht="25.5" hidden="false" customHeight="false" outlineLevel="0" collapsed="false">
      <c r="AB245" s="2"/>
      <c r="AC245" s="2"/>
      <c r="AD245" s="3"/>
      <c r="AE245" s="4"/>
      <c r="AF245" s="4"/>
    </row>
  </sheetData>
  <mergeCells count="50">
    <mergeCell ref="C2:AA2"/>
    <mergeCell ref="H3:S3"/>
    <mergeCell ref="V3:AA3"/>
    <mergeCell ref="A4:A5"/>
    <mergeCell ref="B4:C4"/>
    <mergeCell ref="D4:E4"/>
    <mergeCell ref="F4:G4"/>
    <mergeCell ref="H4:I4"/>
    <mergeCell ref="J4:K4"/>
    <mergeCell ref="L4:M4"/>
    <mergeCell ref="N4:N5"/>
    <mergeCell ref="O4:P4"/>
    <mergeCell ref="Q4:R4"/>
    <mergeCell ref="Z4:AA4"/>
    <mergeCell ref="Z5:AA5"/>
    <mergeCell ref="Z6:AA6"/>
    <mergeCell ref="AF6:AF7"/>
    <mergeCell ref="Z7:AA7"/>
    <mergeCell ref="Z8:AA8"/>
    <mergeCell ref="Z9:AA9"/>
    <mergeCell ref="Z10:AA10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Z26:AA26"/>
    <mergeCell ref="Z27:AA2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37:AA37"/>
    <mergeCell ref="Z38:AA38"/>
    <mergeCell ref="V39:Y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2024-06-20T08:36:23Z</dcterms:created>
  <dc:creator>Jaihan Kattareya</dc:creator>
  <dc:description/>
  <dc:language>en-US</dc:language>
  <cp:lastModifiedBy>FECA Shop Onitsuka Tiger CPN Phuket</cp:lastModifiedBy>
  <dcterms:modified xsi:type="dcterms:W3CDTF">2026-08-17T13:28:18Z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0x01010092E5D653FE393741964E8A43E99C5F5A</vt:lpwstr>
  </property>
</Properties>
</file>